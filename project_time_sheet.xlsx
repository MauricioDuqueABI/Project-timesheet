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filterPrivacy="1"/>
  <xr:revisionPtr revIDLastSave="3607" documentId="11_3E36CF56B8E44E068221A0921DFEBA9330CC02F1" xr6:coauthVersionLast="47" xr6:coauthVersionMax="47" xr10:uidLastSave="{08C817B7-E7A0-4E37-A754-5B328C5601CF}"/>
  <bookViews>
    <workbookView xWindow="28680" yWindow="-120" windowWidth="29040" windowHeight="15720" firstSheet="1" activeTab="1" xr2:uid="{00000000-000D-0000-FFFF-FFFF00000000}"/>
  </bookViews>
  <sheets>
    <sheet name="📋 Instructions" sheetId="3" r:id="rId1"/>
    <sheet name="KII Tasks" sheetId="1" r:id="rId2"/>
    <sheet name="Team" sheetId="2" state="veryHidden" r:id="rId3"/>
  </sheets>
  <definedNames>
    <definedName name="_xlnm._FilterDatabase" localSheetId="1" hidden="1">'KII Tasks'!$A$1:$M$181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 i="1"/>
</calcChain>
</file>

<file path=xl/sharedStrings.xml><?xml version="1.0" encoding="utf-8"?>
<sst xmlns="http://schemas.openxmlformats.org/spreadsheetml/2006/main" count="1527" uniqueCount="502">
  <si>
    <t xml:space="preserve">  Project Time Sheet — User Guide</t>
  </si>
  <si>
    <t xml:space="preserve">  This file mirrors the KII GitHub Project structure. Use the "KII Tasks" sheet to manage your team's work.</t>
  </si>
  <si>
    <t xml:space="preserve">  Overview</t>
  </si>
  <si>
    <t>Sheet: KII Tasks</t>
  </si>
  <si>
    <t>Main working sheet — add, edit and track all project tasks here.</t>
  </si>
  <si>
    <t>Sheet: Team (hidden)</t>
  </si>
  <si>
    <t>Stores the list of GitHub team members used for the Assignee dropdown.</t>
  </si>
  <si>
    <t>Sheet: Instructions</t>
  </si>
  <si>
    <t>This page.</t>
  </si>
  <si>
    <t xml:space="preserve">  Column Guide</t>
  </si>
  <si>
    <t>#</t>
  </si>
  <si>
    <t>Auto row reference number. Fill manually when adding a new task.</t>
  </si>
  <si>
    <t>Title</t>
  </si>
  <si>
    <t>Short, clear name for the task. Keep it actionable (e.g. "Fix login bug").</t>
  </si>
  <si>
    <t>Description</t>
  </si>
  <si>
    <t>Detailed explanation of what needs to be done.</t>
  </si>
  <si>
    <t>Assignee</t>
  </si>
  <si>
    <t>Click the cell and pick a team member from the dropdown list.</t>
  </si>
  <si>
    <t>Status</t>
  </si>
  <si>
    <t>Current state of the task. Pick from dropdown:
  Backlog → Ready → In progress → In review → Done</t>
  </si>
  <si>
    <t>Priority</t>
  </si>
  <si>
    <t>Urgency level. Pick from dropdown: Critical / High / Medium / Low</t>
  </si>
  <si>
    <t>Size</t>
  </si>
  <si>
    <t>Effort estimate in T-shirt sizes: XS / S / M / L / XL</t>
  </si>
  <si>
    <t>Estimate (h)</t>
  </si>
  <si>
    <t>Numeric estimate in hours (e.g. 4). Used for capacity planning.</t>
  </si>
  <si>
    <t>Start Date</t>
  </si>
  <si>
    <t>Date the task is planned to start (format: YYYY-MM-DD).</t>
  </si>
  <si>
    <t>Target Date</t>
  </si>
  <si>
    <t>Deadline or expected completion date (format: YYYY-MM-DD).</t>
  </si>
  <si>
    <t>Labels</t>
  </si>
  <si>
    <t>Free-text tags for grouping (e.g. "bug, frontend, urgent").</t>
  </si>
  <si>
    <t>Notes</t>
  </si>
  <si>
    <t>Any extra context, blockers, or links relevant to the task.</t>
  </si>
  <si>
    <t xml:space="preserve">  How to Add a New Task</t>
  </si>
  <si>
    <t>Step 1</t>
  </si>
  <si>
    <t>Go to the "KII Tasks" sheet.</t>
  </si>
  <si>
    <t>Step 2</t>
  </si>
  <si>
    <t>Scroll to the first empty row after the last task.</t>
  </si>
  <si>
    <t>Step 3</t>
  </si>
  <si>
    <t>Fill in #, Title and Description at minimum.</t>
  </si>
  <si>
    <t>Step 4</t>
  </si>
  <si>
    <t>Click the Assignee cell → select a team member from the dropdown.</t>
  </si>
  <si>
    <t>Step 5</t>
  </si>
  <si>
    <t>Set Status to "Backlog" or "Ready" to start.</t>
  </si>
  <si>
    <t>Step 6</t>
  </si>
  <si>
    <t>Fill in Priority, Size, dates and Estimate as needed.</t>
  </si>
  <si>
    <t xml:space="preserve">  Tips &amp; Tricks</t>
  </si>
  <si>
    <t>Filter by assignee</t>
  </si>
  <si>
    <t>Click the dropdown arrow on the "Assignee" header to filter tasks by person.</t>
  </si>
  <si>
    <t>Filter by status</t>
  </si>
  <si>
    <t>Use the "Status" column filter to see only In-progress or Done tasks.</t>
  </si>
  <si>
    <t>Sort by date</t>
  </si>
  <si>
    <t>Click "Target Date" header to sort tasks by deadline.</t>
  </si>
  <si>
    <t>Colour coding</t>
  </si>
  <si>
    <t>Status and Priority cells are colour-coded — no setup needed, just pick from the dropdown.</t>
  </si>
  <si>
    <t>Adding team members</t>
  </si>
  <si>
    <t>To add a new member, unhide the "Team" sheet, add their GitHub username in column A, then hide it again.</t>
  </si>
  <si>
    <t>Scope</t>
  </si>
  <si>
    <t>When estop, disable the start button</t>
  </si>
  <si>
    <t>**Category:** Prevent to start from Katana when the E-stop is activated</t>
  </si>
  <si>
    <t>dilinaabi</t>
  </si>
  <si>
    <t>Backlog</t>
  </si>
  <si>
    <t>High</t>
  </si>
  <si>
    <t>Katana</t>
  </si>
  <si>
    <t>When guard stop, start button is still disabled/wont do anything</t>
  </si>
  <si>
    <t>When the door is open while picking up the tool there was no error on the UI and the conveyor just started without anything noticing</t>
  </si>
  <si>
    <t>Need a way to show the PLC UI with</t>
  </si>
  <si>
    <t>Medium</t>
  </si>
  <si>
    <t>Custom cut doesn't update the preview</t>
  </si>
  <si>
    <t>Check tolarances mm or px in the code logic</t>
  </si>
  <si>
    <t>Done</t>
  </si>
  <si>
    <t>When katana starts, I have to change the cnv speed and hit apply, same with other OPC values the opc values were not saved on DB</t>
  </si>
  <si>
    <t>In progress</t>
  </si>
  <si>
    <t>3d preview and 2d preview rotations are different</t>
  </si>
  <si>
    <t>Low</t>
  </si>
  <si>
    <t>Show the current tool in the status bar right side</t>
  </si>
  <si>
    <t>When you change the page and come to home the current priview/last preview wont load</t>
  </si>
  <si>
    <t>Pump OPC issues - pressure was not able to set</t>
  </si>
  <si>
    <t>ashiqul-abi</t>
  </si>
  <si>
    <t>Demo graphics remove</t>
  </si>
  <si>
    <t>Special cut patterns (circles, cross+circle) are not previewing properly</t>
  </si>
  <si>
    <t>Nozzle selection is not clear. Also need to reorganize</t>
  </si>
  <si>
    <t>Calibration Mode: from katana when calibration mode enables it will remove all the offsets and change the robot side to calibration mode. it will also allow to point the correct tool holder</t>
  </si>
  <si>
    <t>Katana should show an error if the default user doesnt have permisions to start/execute RAPID Programs</t>
  </si>
  <si>
    <t>Amadues ROI change from Settings</t>
  </si>
  <si>
    <t>Add a way to restart hermary using ssh commands</t>
  </si>
  <si>
    <t>Evaluate and Make decision of OPC/RMQ IPC (RestAPI)</t>
  </si>
  <si>
    <t>**Notes:** OPC required ABB License, no started</t>
  </si>
  <si>
    <t>MauricioDuqueABI</t>
  </si>
  <si>
    <t>OPC is default communciation between PLC and Katana. Robot-Katana-Robot, SDK and RWS</t>
  </si>
  <si>
    <t>Main Layout bug fixes</t>
  </si>
  <si>
    <t>**Notes:** Which?</t>
  </si>
  <si>
    <t>Add current recipe settings page</t>
  </si>
  <si>
    <t>**Priority:** Low</t>
  </si>
  <si>
    <t>Remove/Hide unusable demo components</t>
  </si>
  <si>
    <t>Bind everything properly</t>
  </si>
  <si>
    <t>**Priority:** High</t>
  </si>
  <si>
    <t>Buffer to fix the other minor things on pages</t>
  </si>
  <si>
    <t>Changes to multi db model to single db postgres structure</t>
  </si>
  <si>
    <t>CSV creation, dump, backups and restore</t>
  </si>
  <si>
    <t>Modify the database from ths UI</t>
  </si>
  <si>
    <t>Test multicamera setup</t>
  </si>
  <si>
    <t>**Notes:** It is tested in EyeQ</t>
  </si>
  <si>
    <t>Intergrate RestAPI in the capture pipeline</t>
  </si>
  <si>
    <t>**Notes:** No request for BDF</t>
  </si>
  <si>
    <t>Intergrate UI Web Frame</t>
  </si>
  <si>
    <t>Stitching fixes</t>
  </si>
  <si>
    <t>**Notes:** What is the latest status of this? Need to be merge with Main branch</t>
  </si>
  <si>
    <t>Use OPC To connect with PLC</t>
  </si>
  <si>
    <t>Created communication</t>
  </si>
  <si>
    <t>Use OPC To connect with Robot-controller</t>
  </si>
  <si>
    <t>No implemented, communication between Robot-Katana-Robot will be REST RWS and SDK</t>
  </si>
  <si>
    <t>Order of the logs from most recent to oldest + Enable logs filtering and export</t>
  </si>
  <si>
    <t>**Category:** Grey lines on the scan preview  **Notes:** Merged: 'Record Error' button to create a copy of the current log file [Update / UI, Branch: LaLorraine, source status: Complete].</t>
  </si>
  <si>
    <t>In review</t>
  </si>
  <si>
    <t>Create a permission management and user access system</t>
  </si>
  <si>
    <t>**Category:** Grey lines on the scan preview  **Notes:** Merged: (1) Security Manager UI — user add/edit/password change [Khurram has sample code]; (2) Configurable product-security / user-login parameters — implementable via remote support (Src: A-000741 Boulart Customer Visit). Source statuses: Security Manager UI=Complete, Config params=Backlog.</t>
  </si>
  <si>
    <t>ashiqul-abi, dilinaabi</t>
  </si>
  <si>
    <t>Unity</t>
  </si>
  <si>
    <t>Add Katana Setting to choose zone for robtargets</t>
  </si>
  <si>
    <t>Comm to PLC not through Robot</t>
  </si>
  <si>
    <t>**Notes:** [Feature / General] | Eliminate comm between Katana and PLC through Robot - have it be direct bidirectional. In progress because one way communication of statistics from PLC to Katana has already been established.</t>
  </si>
  <si>
    <t>Custum cuts can be generated by loading points from Recipe File; Custom cut generator to be build and included on K2</t>
  </si>
  <si>
    <t>**Notes:** [Update / Motion] | Branch: LaLorraine</t>
  </si>
  <si>
    <t>Audit Trail (User Action) Logging</t>
  </si>
  <si>
    <t>**Notes:** [Update / General] | Branch: LaLorraine</t>
  </si>
  <si>
    <t>Pop-up description of each setting for Katana</t>
  </si>
  <si>
    <t>**Notes:** [Update / UI] | Give a pop-up drawing explanation for each setting to be better understandable for the user. For some of the more complex movements, we could record a simple animation using RobotStudio sim and the CAD geometry</t>
  </si>
  <si>
    <t>Adding a view which shows the directions (x, y, and z) as well as the movement directions to facilitate manual operations and corrections of cutting parameters</t>
  </si>
  <si>
    <t>**Notes:** In Unity Katana 1.5. Prepared offline and pushed. No downtime required | Src: A-000741 - Boulart - Customer Visit Items_Nov 2034</t>
  </si>
  <si>
    <t>Toggle for for photoeye vs continuous scanning</t>
  </si>
  <si>
    <t>**Notes:** [Update / Vision] | Should have a switch in Setting to show or hid this | Branch: Mecatherm</t>
  </si>
  <si>
    <t>Scaling for 'Scoring Layout' Cut Preview - cut vs. ellips scaling - autoscale entire image to fit in box</t>
  </si>
  <si>
    <t>**Notes:** [Bug / UI] | To be in Subra Task Completion First Review | Branch: dev\sm\addscalingforscoringlayoutpreview</t>
  </si>
  <si>
    <t>Add Katana Setting to Change Number of Points for Cuts (to balance Contour following vs speed)</t>
  </si>
  <si>
    <t>**Notes:** [Feature / Motion] | Default360view.xaml | Branch: Wegmans</t>
  </si>
  <si>
    <t>Add waterjet offsets and waterjet specific options</t>
  </si>
  <si>
    <t>**Notes:** [Update / UI] | Branch: LaLorraine</t>
  </si>
  <si>
    <t>Added UI adjustable intensity threshold and background threshold</t>
  </si>
  <si>
    <t>**Notes:** [Update / UI] | Branch: Mecatherm</t>
  </si>
  <si>
    <t>Tray Height Signal</t>
  </si>
  <si>
    <t>Add indexing mode to cycle boards</t>
  </si>
  <si>
    <t>**Notes:** [Update / General] | Branch: Mecatherm</t>
  </si>
  <si>
    <t>Added first connected rob interface for fail over</t>
  </si>
  <si>
    <t>**Notes:** [Fix / General] | Not required once direct com to plc is implemented | Branch: LaLorraine</t>
  </si>
  <si>
    <t>Setting scroll bar is always visible, don’t have to login to scroll and check the settings; possibly get rid of scroll</t>
  </si>
  <si>
    <t>**Notes:** [Update / UI] | Should be complete | Branch: Main</t>
  </si>
  <si>
    <t>Review RobotsEnabled Settings - Should this be removed?</t>
  </si>
  <si>
    <t>Ksomjee</t>
  </si>
  <si>
    <t>Katana Shop Build Instructions with Settings Description</t>
  </si>
  <si>
    <t>**Notes:** [Documentation / General] | Carlee has started this as an exhaustive document - need to make a startup checklist</t>
  </si>
  <si>
    <t>Information displayed completely, no cut-outs (ultrasonic tab). This is resolution dependent- sometimes certain text gets cut off in certain views</t>
  </si>
  <si>
    <t>**Notes:** [Fix / UI]</t>
  </si>
  <si>
    <t>Should we change the imaging so that we can do more than two images at any given time</t>
  </si>
  <si>
    <t>**Notes:** [Feature / Vision] | To Investigate</t>
  </si>
  <si>
    <t>Intensity Threshold Only Changing on Katana Program Start</t>
  </si>
  <si>
    <t>**Notes:** [Fix / UI] | Branch: Mecatherm</t>
  </si>
  <si>
    <t>Fixed Rotation Selectable (On/off) Instead of relying on equal Length and Width; if ON then rotation can be input by user.</t>
  </si>
  <si>
    <t>**Notes:** [Update / UI] | Add setting to show/hide this toggle switch on the UI | Branch: LaLorraine</t>
  </si>
  <si>
    <t>Recipe Dependant Scan Length</t>
  </si>
  <si>
    <t>**Notes:** [Fix / Vision] | Branch: LaLorraine</t>
  </si>
  <si>
    <t>Work area begining and end dynamicly adjest to the convayor speed</t>
  </si>
  <si>
    <t>Setup PC or PLC as NTP server</t>
  </si>
  <si>
    <t>Advanced angle finding for large bounding boxes using sampling lines</t>
  </si>
  <si>
    <t>**Notes:** [Update / Vision] | Not implimented in production. Onsite testing only | Branch: Wegmans</t>
  </si>
  <si>
    <t>Ensure Drag Cuts use same implementation of minz-cutdepth as Plunge</t>
  </si>
  <si>
    <t>**Notes:** [Bug / Motion] | Found at JJ, Applied to Mecatherm | Branch: Bimbo</t>
  </si>
  <si>
    <t>Updating the tool definition for proper standards</t>
  </si>
  <si>
    <t>When inputing a value to a setting, add a button to accept the change. (confirm pop-up)</t>
  </si>
  <si>
    <t>Katana should read the camera settings and change the software ROI values</t>
  </si>
  <si>
    <t>Mecatherm - Dip Tank Control on UI; Intergrate Katana with PLC</t>
  </si>
  <si>
    <t>**Notes:** [Feature / UI]</t>
  </si>
  <si>
    <t>WaterJet Nozzles should be ABC not 123; ensure nozzles are labeld</t>
  </si>
  <si>
    <t>Auto recognition of camera communication loss - error handling, logging and recovery</t>
  </si>
  <si>
    <t>**Notes:** [Feature / Vision] | This issue came up on FGF Secretariat 2023-01-09</t>
  </si>
  <si>
    <t>Katana Settings (as many as possible) should be immideatly applied by modifying a rapid variable rather than applying at scan processing time</t>
  </si>
  <si>
    <t>**Notes:** [Feature / General] | So that customers can see the changes right away and not have to wait for the next scan. Example of settings already implemented this way: MinZ, minRelDist, nMaxDist</t>
  </si>
  <si>
    <t>Flashing notice per robot of "appling settings" for parameters change that will only take effect on the next scan</t>
  </si>
  <si>
    <t>Hermary 3D full color cloud map</t>
  </si>
  <si>
    <t>Smart recommendations for troubleshooting (done for EYE-Q, needs to be implemented on Katana 2.0)</t>
  </si>
  <si>
    <t>Smart monitoring of predictive failure of ultrasonics</t>
  </si>
  <si>
    <t>Scoring designer  - AI score designer (from photos)  - Hand drawing</t>
  </si>
  <si>
    <t>Energy conservation by shutting of laser when not in use</t>
  </si>
  <si>
    <t>Auto path &amp; distribution</t>
  </si>
  <si>
    <t>**Category:** (automatic determination of robot path and distribution (direction of cuts, movement between cuts, movement between product and order between cuts) Benefit for the customers Reduces cost and time to add and change a recipe for us and the customer (troubleshooting) Ensures the fastest rate every time</t>
  </si>
  <si>
    <t>Ability to save recipes on a USB</t>
  </si>
  <si>
    <t>**Notes:** Implement script to save to USB. An hour of remote support. CSV file already being saved. The file is currently being output on the HD everytime Katana launches. Location: C:\ProgramData\Aetherics\ABI Katana Scoring\Production Package Library\LibraryIndex.csv Prepared offline and pushed. No downtime required | Src: A-000741 - Boulart - Customer Visit Items_Nov 2028</t>
  </si>
  <si>
    <t>Inverting the vision image to match reality due to the position of the HMI</t>
  </si>
  <si>
    <t>**Notes:** Complete | Src: A-000741 - Boulart - Customer Visit Items_Nov 2032</t>
  </si>
  <si>
    <t>Investigate automatic fail over for various cases</t>
  </si>
  <si>
    <t>ToolChange and dip and clean in Progress</t>
  </si>
  <si>
    <t>**Notes:** [Katana2] | postponed to AB3 JM - Including Starting status | Src: LLCZ TO DO</t>
  </si>
  <si>
    <t>Ultrasonic test button should be disabled when robot not holding us tool</t>
  </si>
  <si>
    <t>**Notes:** [Katana2] | JM - for later | Src: LLCZ TO DO</t>
  </si>
  <si>
    <t>Change the FGF phantom to phantom mode</t>
  </si>
  <si>
    <t>make available Phantom mode for customers to use</t>
  </si>
  <si>
    <t>Simulate the encoder for robot convayor input</t>
  </si>
  <si>
    <t>System limit ranges should be changable for superadmin</t>
  </si>
  <si>
    <t>Limit range should be visible near the limit</t>
  </si>
  <si>
    <t>Communication loss shouldn't crash Katana</t>
  </si>
  <si>
    <t>warm start the robots and power cycle the cameras</t>
  </si>
  <si>
    <t>When Saving Prod Pkg ask to overwrite current package or create new</t>
  </si>
  <si>
    <t>Show relative length and relative spacing</t>
  </si>
  <si>
    <t>Drive Profile should be updated to Robots/PLC on Production Package Load not Just when Start is Pressed</t>
  </si>
  <si>
    <t>**Notes:** [Bug / UI]</t>
  </si>
  <si>
    <t>Hide scoring settings based on selected tool (e.g. cutlength when plunge…)</t>
  </si>
  <si>
    <t>**Notes:** [Update / UI] | Branch: ?</t>
  </si>
  <si>
    <t>Fix Phantom Mode</t>
  </si>
  <si>
    <t>Katana should show drive profile on Production Package View as Column AND in the Operation Panel under the Recipe Name</t>
  </si>
  <si>
    <t>**Notes:** [Update / UI]</t>
  </si>
  <si>
    <t>When Clicking on Alarm History Onscreen Keyboard Appears</t>
  </si>
  <si>
    <t>**Notes:** [Fix / UI] | Found at Bimbo - Standard Windows 10 Setup | Branch: Ditsch</t>
  </si>
  <si>
    <t>User input to define robot work area beginning and end</t>
  </si>
  <si>
    <t>Implement Lateral and Slice Movement in RAPID (Already on Katana) in Base RAPID</t>
  </si>
  <si>
    <t>**Notes:** [Feature / Motion] | Complete on Katana Main Branch</t>
  </si>
  <si>
    <t>Independent ROI Setttings per Camera</t>
  </si>
  <si>
    <t>**Notes:** [Feature / UI] | Partially implemented for two cameras at FGF</t>
  </si>
  <si>
    <t>Ensure the encoder trigger mode works with Amadeus cameras</t>
  </si>
  <si>
    <t>Relative Length of cut should scale with product width or length depending on cut angle</t>
  </si>
  <si>
    <t>**Notes:** Branch: Mecatherm</t>
  </si>
  <si>
    <t>Fix and re-enable projected cuts in Vision Scan Preview (Mark cut points).</t>
  </si>
  <si>
    <t>**Category:** Add direction of robot process to allow for offline path+distribution optimization (when paired with Phantom mode)</t>
  </si>
  <si>
    <t>Cleanup hard coded project specific logic branches -&gt; convert to optional settings.</t>
  </si>
  <si>
    <t>**Notes:** Subra has provided initial comments for this</t>
  </si>
  <si>
    <t>Secuirty Manager UI to Allow User Add, Edit, Password Change</t>
  </si>
  <si>
    <t>**Notes:** Khurram has some sample code for this</t>
  </si>
  <si>
    <t>For waterjet tooling, add a recipe dependant user input to allow selection between fixed and product dependant tooling angle.</t>
  </si>
  <si>
    <t>**Notes:** Branch: Mecatherm | Need to check if Mecatherm has an implementation of this already</t>
  </si>
  <si>
    <t>For waterjet tooling, update cut preview based on how many nozzles are enabled.</t>
  </si>
  <si>
    <t>Autobackup for Settings &amp; Default Database</t>
  </si>
  <si>
    <t>**Notes:** If settings file is successfully loaded, overwrite the default settings file</t>
  </si>
  <si>
    <t>UI Feature to calculate Scan Length, and Trigg Dist based on 'max product length'</t>
  </si>
  <si>
    <t>**Notes:** Build in shop - will be easier if this is automatic</t>
  </si>
  <si>
    <t>Add "Record Error" button. To create a copy of the current log file</t>
  </si>
  <si>
    <t>**Notes:** Branch: LaLorraine</t>
  </si>
  <si>
    <t>Making the configuration parameters of product security dependant user logins and security will be configurable</t>
  </si>
  <si>
    <t>**Notes:** Source: A-000741 - Boulart - Customer Visit Items_Nov 2030 | This can be implemented with a remote support/site visit</t>
  </si>
  <si>
    <t>Tray analysis</t>
  </si>
  <si>
    <t>**Category:** Eye-Q Software Development</t>
  </si>
  <si>
    <t>Eye-Q</t>
  </si>
  <si>
    <t>The overlap detection/touching products</t>
  </si>
  <si>
    <t>Product data file definition</t>
  </si>
  <si>
    <t>Restrict setting changes</t>
  </si>
  <si>
    <t>Software stops</t>
  </si>
  <si>
    <t>Total defects breakdown to be added</t>
  </si>
  <si>
    <t>Rejected Products Counts</t>
  </si>
  <si>
    <t>Fix the active recipe issue (to be verified)</t>
  </si>
  <si>
    <t>Enabling manual bypass for recipe selection</t>
  </si>
  <si>
    <t>Tune double rejection for post baking</t>
  </si>
  <si>
    <t>Process empty boards</t>
  </si>
  <si>
    <t>Add seam detection</t>
  </si>
  <si>
    <t>Check recipe tab</t>
  </si>
  <si>
    <t>Deploy EyeQ in Scoring</t>
  </si>
  <si>
    <t>Input for minimum acceptable distance between two product</t>
  </si>
  <si>
    <t>Have a count per recipe</t>
  </si>
  <si>
    <t>Review with customer our current images and labels</t>
  </si>
  <si>
    <t>Create an interface in the software to relabel and train automatically ML images</t>
  </si>
  <si>
    <t>QA app and ASAP Integration</t>
  </si>
  <si>
    <t>Move EyeQ on Depositing</t>
  </si>
  <si>
    <t>Redstone install jetson</t>
  </si>
  <si>
    <t>CIELAB L* Analysis</t>
  </si>
  <si>
    <t>MauricioDuqueABI, ashiqul-abi</t>
  </si>
  <si>
    <t>Multiple Amadeus 3D cameras stitching</t>
  </si>
  <si>
    <t>dilinaabi, ashiqul-abi</t>
  </si>
  <si>
    <t>Automatic Email Reporting</t>
  </si>
  <si>
    <t>Auto Tick per mm calibration</t>
  </si>
  <si>
    <t>Hardware control (Blow Off, Vision Lights)</t>
  </si>
  <si>
    <t>ashiqul-abi, MauricioDuqueABI</t>
  </si>
  <si>
    <t>Opc-Server / Client Certificates</t>
  </si>
  <si>
    <t>Product measurements with trends</t>
  </si>
  <si>
    <t>Ace Basler Calibration and Stitching UI</t>
  </si>
  <si>
    <t>Roboflow Integration AI</t>
  </si>
  <si>
    <t>API Pontem Integration</t>
  </si>
  <si>
    <t>Race Line Basler Camera Integration</t>
  </si>
  <si>
    <t>Line by Line Stitching for SL1880 and Amadeus</t>
  </si>
  <si>
    <t>PLC integration Siemens and AB</t>
  </si>
  <si>
    <t>Separation Log from user actions</t>
  </si>
  <si>
    <t>Refactor Robot Communication</t>
  </si>
  <si>
    <t>**Category:** Software Functions</t>
  </si>
  <si>
    <t>Initiate Recuritment for supplemental contractor dev role</t>
  </si>
  <si>
    <t>Hermary Camera - Function Block development</t>
  </si>
  <si>
    <t>Data Interface for Katana 1.5 &gt; 2 transition</t>
  </si>
  <si>
    <t>Complete Web UI</t>
  </si>
  <si>
    <t>Separate Back End and Front End</t>
  </si>
  <si>
    <t>Test plan document (Hardware + software)</t>
  </si>
  <si>
    <t>Katana II robot program development (RAPID)</t>
  </si>
  <si>
    <t>Critical UI Bugs Fix</t>
  </si>
  <si>
    <t>Backend and DB Bugs Fix</t>
  </si>
  <si>
    <t>PLC Robot Bug Fix Communication and UDTs</t>
  </si>
  <si>
    <t>Smart Alarms and Intelligent Support - Development</t>
  </si>
  <si>
    <t>**Category:** Software Features</t>
  </si>
  <si>
    <t>Smart Alarms and Intelligent Support - Trouble Shooting Details</t>
  </si>
  <si>
    <t>Robot Metrics</t>
  </si>
  <si>
    <t>Full Simulation</t>
  </si>
  <si>
    <t>MyMecatherm Integration</t>
  </si>
  <si>
    <t>New screen, embedded in the vision cell</t>
  </si>
  <si>
    <t>UI features</t>
  </si>
  <si>
    <t>Web interface + remote access</t>
  </si>
  <si>
    <t>Recipe creation wizard (+ gifs/animation)</t>
  </si>
  <si>
    <t>Complete user manuals (maintenance + MyMct ready)</t>
  </si>
  <si>
    <t>New look and feel</t>
  </si>
  <si>
    <t>Pump controls (recipe driven-OPC driven)</t>
  </si>
  <si>
    <t>Bakery De France Deadline</t>
  </si>
  <si>
    <t>Robot Calibration Automation Support</t>
  </si>
  <si>
    <t>**Category:** Capstone</t>
  </si>
  <si>
    <t>Capstone</t>
  </si>
  <si>
    <t>Isolate the 10 worst images of each run for training purposes</t>
  </si>
  <si>
    <t>**Category:** Unity Software Development</t>
  </si>
  <si>
    <t>Automatic email report</t>
  </si>
  <si>
    <t>Enable a different UI and KPIs for production management</t>
  </si>
  <si>
    <t>Image storage to be extended to more than 24 Hrs</t>
  </si>
  <si>
    <t>Grey lines on the scan preview</t>
  </si>
  <si>
    <t>Order of the logs from most recent to oldest</t>
  </si>
  <si>
    <t>Trigger the alarm just 3 times and stops automatically</t>
  </si>
  <si>
    <t>Move to a cloud database</t>
  </si>
  <si>
    <t>Create dashboard documentation</t>
  </si>
  <si>
    <t>Enable logs filtering and export</t>
  </si>
  <si>
    <t>Friendly keyboard</t>
  </si>
  <si>
    <t>Script update Images from Katana/EyeQ to AWS bucket</t>
  </si>
  <si>
    <t>Start and Stop buttons not working</t>
  </si>
  <si>
    <t>Start and Stop buttons do not respond when pressed on the home page</t>
  </si>
  <si>
    <t>ui,bug</t>
  </si>
  <si>
    <t>Run button does not start the system</t>
  </si>
  <si>
    <t>When the run button is pressed, the system does not start</t>
  </si>
  <si>
    <t>Alarm should display when safety is active and run is pressed</t>
  </si>
  <si>
    <t>System should display an alarm when safety interlock is active and user attempts to run</t>
  </si>
  <si>
    <t>ui,safety</t>
  </si>
  <si>
    <t>Safety active but system appears running when run is pressed</t>
  </si>
  <si>
    <t>When safety is active, pressing run should not allow the system to appear to be running</t>
  </si>
  <si>
    <t>ui,safety,bug</t>
  </si>
  <si>
    <t>Home page settings panel issues</t>
  </si>
  <si>
    <t>Settings panel on home page needs review and fixes</t>
  </si>
  <si>
    <t>ui</t>
  </si>
  <si>
    <t>Tools tab showing in Conveyor tab - move to Advanced Settings</t>
  </si>
  <si>
    <t>Tools UI component is incorrectly placed in the Conveyor tab; should be moved to Advanced Settings</t>
  </si>
  <si>
    <t>ui,ux</t>
  </si>
  <si>
    <t>Conveyor tab missing conveyor speed - DB record missing</t>
  </si>
  <si>
    <t>Conveyor tab does not show conveyor speed; DB record for this setting appears to be missing</t>
  </si>
  <si>
    <t>ui,bug,db</t>
  </si>
  <si>
    <t>Emergency stop from Robot not displayed in KII UI status bar</t>
  </si>
  <si>
    <t>No indication of emergency stops originating from the Robot is shown in the KII top status bar</t>
  </si>
  <si>
    <t>Home screen UI should display robot status</t>
  </si>
  <si>
    <t>Add robot status indicators to the home screen</t>
  </si>
  <si>
    <t>Logs not updating on main page</t>
  </si>
  <si>
    <t>The log view on the main/home page is not refreshing or updating in real time</t>
  </si>
  <si>
    <t>Remove or hide language selector (internationalization)</t>
  </si>
  <si>
    <t>Language selector should be hidden; internationalization not needed for current scope</t>
  </si>
  <si>
    <t>Add production rates and scoring rates from KI</t>
  </si>
  <si>
    <t>Bring production rates and scoring rates display from KI into the home page</t>
  </si>
  <si>
    <t>ui,feature</t>
  </si>
  <si>
    <t>Changeable conveyor speed from UI</t>
  </si>
  <si>
    <t>Allow operator to change conveyor speed directly from the UI</t>
  </si>
  <si>
    <t>Live badge should show offline when system not running</t>
  </si>
  <si>
    <t>Replace or remove the live badge; show offline state when system is not running</t>
  </si>
  <si>
    <t>Home screen preview rotation - portrait image</t>
  </si>
  <si>
    <t>Home screen scan preview image should display in portrait orientation</t>
  </si>
  <si>
    <t>Universal error popup for any errors - TBD</t>
  </si>
  <si>
    <t>Implement a universal popup component to display any system errors consistently; design TBD</t>
  </si>
  <si>
    <t>Recipe preview not showing cuts [bug]</t>
  </si>
  <si>
    <t>Recipe preview is not working and does not display cut lines</t>
  </si>
  <si>
    <t>ui,bug,recipes</t>
  </si>
  <si>
    <t>Recipe edit - validate conveyor speed and fix page navigation</t>
  </si>
  <si>
    <t>Validate conveyor speed field on recipe edit page; fix normal navigation flow to the page</t>
  </si>
  <si>
    <t>Add text labels to recipe icons</t>
  </si>
  <si>
    <t>Recipe icon buttons need visible text labels for clarity</t>
  </si>
  <si>
    <t>ui,ux,recipes</t>
  </si>
  <si>
    <t>Recipe wizard - bind client name and creation date on UI</t>
  </si>
  <si>
    <t>Left side of recipe wizard should display bound client name and creation date</t>
  </si>
  <si>
    <t>ui,recipes</t>
  </si>
  <si>
    <t>Log search not working</t>
  </si>
  <si>
    <t>Log search functionality is broken; logs should be searchable</t>
  </si>
  <si>
    <t>ui,bug,logs</t>
  </si>
  <si>
    <t>Maintenance - hide 2D camera sensor</t>
  </si>
  <si>
    <t>Hide the 2D camera entry from the sensors section on the maintenance page</t>
  </si>
  <si>
    <t>ashiqul-abi, dilinaabi, MauricioDuqueABI</t>
  </si>
  <si>
    <t>ui,maintenance</t>
  </si>
  <si>
    <t>Maintenance - bind 3D camera image and IP address</t>
  </si>
  <si>
    <t>3D camera image and IP address should be data-bound and displayed correctly on maintenance page</t>
  </si>
  <si>
    <t>Maintenance - show health status for Robot, 3D cameras, Ultrasonic, Pump, Conveyor</t>
  </si>
  <si>
    <t>Display health indicators for all major components on the maintenance page including sequential conveyor running status</t>
  </si>
  <si>
    <t>ui,maintenance,feature</t>
  </si>
  <si>
    <t>Maintenance Robot - add installation date and last maintenance date inputs</t>
  </si>
  <si>
    <t>Add input fields for installation date and last maintenance date; store robot offsets in DB</t>
  </si>
  <si>
    <t>ui,maintenance,db</t>
  </si>
  <si>
    <t>Maintenance Robot - hide working hours</t>
  </si>
  <si>
    <t>Working hours field should be hidden on the robot maintenance page for now</t>
  </si>
  <si>
    <t>Maintenance Robot - hide right side panel</t>
  </si>
  <si>
    <t>Right side panel on the robot maintenance page should be hidden</t>
  </si>
  <si>
    <t>Maintenance 3D cameras - hide page, implement camera blink ID, add calibration tool</t>
  </si>
  <si>
    <t>3D cameras maintenance page: hide until XML config submitted; implement camera identification blink; add calibration tool</t>
  </si>
  <si>
    <t>ui,maintenance,3d-camera</t>
  </si>
  <si>
    <t>Maintenance 3D cameras - update camera image</t>
  </si>
  <si>
    <t>Update/replace the camera image displayed on the 3D cameras maintenance page</t>
  </si>
  <si>
    <t>Maintenance Pump - hide right side panel</t>
  </si>
  <si>
    <t>Right side panel on the pump maintenance page should be hidden</t>
  </si>
  <si>
    <t>Production Statistics - redesign pages</t>
  </si>
  <si>
    <t>Production Statistics pages need a full redesign; design TBD</t>
  </si>
  <si>
    <t>Last Images - pending test</t>
  </si>
  <si>
    <t>Last Images feature is pending testing; check and verify later</t>
  </si>
  <si>
    <t>testing</t>
  </si>
  <si>
    <t>User management - fix threading issue causing page load error</t>
  </si>
  <si>
    <t>User management page fails to load due to a threading issue; only loads successfully once</t>
  </si>
  <si>
    <t>User Actions - hide superadmin and fix duplicate admin accounts</t>
  </si>
  <si>
    <t>Hide the superadmin user from user selection; resolve duplicate admin and Admin entries</t>
  </si>
  <si>
    <t>ui,bug,security</t>
  </si>
  <si>
    <t>Engineering Settings - fix advanced settings tab height and button styles</t>
  </si>
  <si>
    <t>Advanced settings tab should match page height; fix button design and styles</t>
  </si>
  <si>
    <t>Engineering Settings - bind tools in tool settings page</t>
  </si>
  <si>
    <t>Tool settings page should have all tools properly data-bound</t>
  </si>
  <si>
    <t>Engineering Settings - fix layout and fonts</t>
  </si>
  <si>
    <t>Fix page layout issues and font consistency in Engineering Settings</t>
  </si>
  <si>
    <t>Engineering Settings - replace scrolling with page-by-page navigation</t>
  </si>
  <si>
    <t>Remove vertical scrolling from settings; implement paginated navigation instead</t>
  </si>
  <si>
    <t>Move Incident Reports to main navigation bar bottom</t>
  </si>
  <si>
    <t>Incident reports section should be accessible from the bottom of the main navigation bar</t>
  </si>
  <si>
    <t>Move Documentation to main navigation bar bottom</t>
  </si>
  <si>
    <t>Documentation section should be accessible from the bottom of the main navigation bar</t>
  </si>
  <si>
    <t>Find and update Incident and Documentation pages from GitHub</t>
  </si>
  <si>
    <t>Locate Incident and Documentation page code in GitHub and bring to latest codebase</t>
  </si>
  <si>
    <t>dev</t>
  </si>
  <si>
    <t>Tools - add ability to create new tools and manage Tool IDs</t>
  </si>
  <si>
    <t>No UI exists to create new tools or Tool IDs; implement tool creation with proper ID separation and management</t>
  </si>
  <si>
    <t>feature,tools</t>
  </si>
  <si>
    <t>Backend - update OPC server to EyeQ version for Katana</t>
  </si>
  <si>
    <t>Bring OPC server for Katana up to the same version used in EyeQ</t>
  </si>
  <si>
    <t>backend,opc</t>
  </si>
  <si>
    <t>Backend - add toggle between robot controller and PLC for specific tags</t>
  </si>
  <si>
    <t>Katana should support switching between robot controller and PLC for selected OPC tags</t>
  </si>
  <si>
    <t>Backend - recipe save/load centralized to SSOT</t>
  </si>
  <si>
    <t>Recipe save and load logic was inconsistent between WPF and Blazor; now centralized to single source of truth</t>
  </si>
  <si>
    <t>backend,recipes</t>
  </si>
  <si>
    <t>Completed 2026-06-04</t>
  </si>
  <si>
    <t>Backend - permission hidden features set to readonly</t>
  </si>
  <si>
    <t>Hidden features behind permissions are now set to readonly mode</t>
  </si>
  <si>
    <t>backend,security</t>
  </si>
  <si>
    <t>Robot - keep RAPID code at latest version</t>
  </si>
  <si>
    <t>Ensure RAPID code is always maintained at the latest stable version</t>
  </si>
  <si>
    <t>robot,rapid</t>
  </si>
  <si>
    <t>Robot - error and stop when current tool is blank</t>
  </si>
  <si>
    <t>If the current tool field is blank when Katana starts, it should raise an error and stop</t>
  </si>
  <si>
    <t>robot,safety,bug</t>
  </si>
  <si>
    <t>Robot - Katana start: robot stuck in semistatic RAPID</t>
  </si>
  <si>
    <t>When Katana starts, the robot never starts and gets stuck in semistatic RAPID state</t>
  </si>
  <si>
    <t>robot,bug</t>
  </si>
  <si>
    <t>Discovered 2026-05-19</t>
  </si>
  <si>
    <t>Robot - Cut Z-Depth=0 cuts product, height calculation error</t>
  </si>
  <si>
    <t>Setting cut Z-Depth to 0 still cuts the product; likely a height calculation bug</t>
  </si>
  <si>
    <t>Discovered 2026-06-02</t>
  </si>
  <si>
    <t>PLC - OPC communication map and UDTs</t>
  </si>
  <si>
    <t>Define and implement OPC communication map and UDT structures for Katana-PLC interface [in progress]</t>
  </si>
  <si>
    <t>plc,opc</t>
  </si>
  <si>
    <t>PLC - OPC multiple interfaces in Katana and PLC</t>
  </si>
  <si>
    <t>Support multiple OPC interfaces between Katana application and PLC</t>
  </si>
  <si>
    <t>Task unification</t>
  </si>
  <si>
    <t>Unify all the tasks in one single file consolidation</t>
  </si>
  <si>
    <t>Simulation</t>
  </si>
  <si>
    <t>Get Katana phantom mode running to control robot in RbStudio</t>
  </si>
  <si>
    <t>ThongHuynhABI</t>
  </si>
  <si>
    <t>simulation</t>
  </si>
  <si>
    <t>Excel automation</t>
  </si>
  <si>
    <t>Excel automation for Eric</t>
  </si>
  <si>
    <t>project</t>
  </si>
  <si>
    <t>Configuration Webpage</t>
  </si>
  <si>
    <t>A webpage for Alexandre</t>
  </si>
  <si>
    <t>Team Member (GitHub username)</t>
  </si>
  <si>
    <t>mpatel0975</t>
  </si>
  <si>
    <t>ThongHHuynhh</t>
  </si>
  <si>
    <t>EyeQ OPC Documentation</t>
  </si>
  <si>
    <t>Make OPC documentation for Redstone</t>
  </si>
  <si>
    <t>Ixon Installation</t>
  </si>
  <si>
    <t>Ixong gateway network isolation in Redstone</t>
  </si>
  <si>
    <t>Architecture Alten</t>
  </si>
  <si>
    <t>Review Alten proposal</t>
  </si>
  <si>
    <t>Evaluation Hardware - Layouts</t>
  </si>
  <si>
    <t>ABI-MCT Common HMI (Screenshots layouts)</t>
  </si>
  <si>
    <t>Send e-mail about review, waiting for reply</t>
  </si>
  <si>
    <t>Stitching problems persist in LLR TK. Move this task a new #241 Reopen</t>
  </si>
  <si>
    <t>LLR Turkey Stitching problems</t>
  </si>
  <si>
    <t>OPC integration MTC - Redstone</t>
  </si>
  <si>
    <t>Review it with Meet Patel</t>
  </si>
  <si>
    <t>Create new repository or use ABI.Unity?</t>
  </si>
  <si>
    <t>Confirm this is close @Ashiqul</t>
  </si>
  <si>
    <t>Indicate if this still open</t>
  </si>
  <si>
    <t>MD closed this item, under review</t>
  </si>
  <si>
    <t>Review status</t>
  </si>
  <si>
    <t>DNS - Email</t>
  </si>
  <si>
    <t>DNS enable for e-mail notifications</t>
  </si>
  <si>
    <t>Requesting to JM and Abdul</t>
  </si>
  <si>
    <t>Job number</t>
  </si>
  <si>
    <t>Purchasing EXE program</t>
  </si>
  <si>
    <t>Create a executable program for Purchasing</t>
  </si>
  <si>
    <t>In progress | Estimation finishing time?</t>
  </si>
  <si>
    <t>MD - Dates?</t>
  </si>
  <si>
    <t>Cibersecurity - Standard</t>
  </si>
  <si>
    <t>Document Cibersecurity</t>
  </si>
  <si>
    <t xml:space="preserve">Check the logs </t>
  </si>
  <si>
    <t>Check Logs for stitching problems use the log and find the root cause</t>
  </si>
  <si>
    <t>LLR Turkey, provide a fixing plan</t>
  </si>
  <si>
    <t xml:space="preserve">Redstone Scoring Camera Flickering </t>
  </si>
  <si>
    <t>Provide an action plan to LLR TK</t>
  </si>
  <si>
    <t>Dignose laser flickering, switch from encoder base to time base and detect if the laser became solid, if so, swap the encoder.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</si>
</sst>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b/>
      <sz val="18"/>
      <color rgb="FFFFFFFF"/>
      <name val="Calibri"/>
    </font>
    <font>
      <i/>
      <sz val="9"/>
      <color rgb="FF666666"/>
      <name val="Calibri"/>
    </font>
    <font>
      <b/>
      <sz val="12"/>
      <color rgb="FFFFFFFF"/>
      <name val="Calibri"/>
    </font>
    <font>
      <sz val="10"/>
      <color rgb="FF1F3864"/>
      <name val="Calibri"/>
    </font>
    <font>
      <sz val="10"/>
      <name val="Calibri"/>
    </font>
    <font>
      <b/>
      <sz val="11"/>
      <color rgb="FFFFFFFF"/>
      <name val="Calibri"/>
    </font>
    <font>
      <sz val="11"/>
      <color rgb="FF000000"/>
      <name val="Calibri"/>
    </font>
    <font>
      <sz val="11"/>
      <color rgb="FF000000"/>
      <name val="Calibri"/>
      <scheme val="minor"/>
    </font>
    <font>
      <b/>
      <sz val="11"/>
      <color rgb="FFFFFFFF"/>
      <name val="Calibri"/>
      <family val="2"/>
      <scheme val="minor"/>
    </font>
    <font>
      <b/>
      <sz val="11"/>
      <color rgb="FFFFFFFF"/>
      <name val="Calibri"/>
      <scheme val="minor"/>
    </font>
    <font>
      <b/>
      <sz val="11"/>
      <color rgb="FF404040"/>
      <name val="Calibri"/>
      <scheme val="minor"/>
    </font>
    <font>
      <b/>
      <sz val="11"/>
      <color rgb="FF1F3864"/>
      <name val="Calibri"/>
      <scheme val="minor"/>
    </font>
    <font>
      <b/>
      <sz val="11"/>
      <color rgb="FF000000"/>
      <name val="Calibri"/>
      <scheme val="minor"/>
    </font>
    <font>
      <b/>
      <sz val="11"/>
      <color rgb="FF385723"/>
      <name val="Calibri"/>
      <scheme val="minor"/>
    </font>
    <font>
      <b/>
      <sz val="11"/>
      <color rgb="FF7F6000"/>
      <name val="Calibri"/>
      <scheme val="minor"/>
    </font>
    <font>
      <b/>
      <sz val="11"/>
      <color rgb="FF7F6000"/>
      <name val="Calibri"/>
      <family val="2"/>
      <scheme val="minor"/>
    </font>
    <font>
      <b/>
      <sz val="11"/>
      <color rgb="FF548235"/>
      <name val="Calibri"/>
      <family val="2"/>
      <scheme val="minor"/>
    </font>
    <font>
      <b/>
      <sz val="11"/>
      <color rgb="FF1F3864"/>
      <name val="Calibri"/>
      <family val="2"/>
      <scheme val="minor"/>
    </font>
    <font>
      <sz val="11"/>
      <color rgb="FF000000"/>
      <name val="Calibri"/>
      <family val="2"/>
      <scheme val="minor"/>
    </font>
  </fonts>
  <fills count="17">
    <fill>
      <patternFill patternType="none"/>
    </fill>
    <fill>
      <patternFill patternType="gray125"/>
    </fill>
    <fill>
      <patternFill patternType="solid">
        <fgColor rgb="FF1F3864"/>
      </patternFill>
    </fill>
    <fill>
      <patternFill patternType="solid">
        <fgColor rgb="FF2F75B6"/>
      </patternFill>
    </fill>
    <fill>
      <patternFill patternType="solid">
        <fgColor rgb="FFE9EFF7"/>
      </patternFill>
    </fill>
    <fill>
      <patternFill patternType="solid">
        <fgColor rgb="FFFAFBFE"/>
      </patternFill>
    </fill>
    <fill>
      <patternFill patternType="solid">
        <fgColor rgb="FF1F3864"/>
        <bgColor indexed="64"/>
      </patternFill>
    </fill>
    <fill>
      <patternFill patternType="solid">
        <fgColor rgb="FFF4F7FB"/>
        <bgColor indexed="64"/>
      </patternFill>
    </fill>
    <fill>
      <patternFill patternType="solid">
        <fgColor rgb="FFE7E6E6"/>
        <bgColor indexed="64"/>
      </patternFill>
    </fill>
    <fill>
      <patternFill patternType="solid">
        <fgColor rgb="FFED7D31"/>
        <bgColor indexed="64"/>
      </patternFill>
    </fill>
    <fill>
      <patternFill patternType="solid">
        <fgColor rgb="FFDEEBF7"/>
        <bgColor indexed="64"/>
      </patternFill>
    </fill>
    <fill>
      <patternFill patternType="solid">
        <fgColor rgb="FFFFC000"/>
        <bgColor indexed="64"/>
      </patternFill>
    </fill>
    <fill>
      <patternFill patternType="solid">
        <fgColor rgb="FFC6E0B4"/>
        <bgColor indexed="64"/>
      </patternFill>
    </fill>
    <fill>
      <patternFill patternType="solid">
        <fgColor rgb="FFFFE699"/>
        <bgColor indexed="64"/>
      </patternFill>
    </fill>
    <fill>
      <patternFill patternType="solid">
        <fgColor rgb="FF70AD47"/>
        <bgColor indexed="64"/>
      </patternFill>
    </fill>
    <fill>
      <patternFill patternType="solid">
        <fgColor rgb="FFFFFFFF"/>
        <bgColor indexed="64"/>
      </patternFill>
    </fill>
    <fill>
      <patternFill patternType="solid">
        <fgColor rgb="FFE2EFDA"/>
        <bgColor indexed="64"/>
      </patternFill>
    </fill>
  </fills>
  <borders count="23">
    <border>
      <left/>
      <right/>
      <top/>
      <bottom/>
      <diagonal/>
    </border>
    <border>
      <left/>
      <right/>
      <top/>
      <bottom style="thin">
        <color rgb="FFCCD6E8"/>
      </bottom>
      <diagonal/>
    </border>
    <border>
      <left/>
      <right/>
      <top style="thin">
        <color rgb="FF1F3864"/>
      </top>
      <bottom/>
      <diagonal/>
    </border>
    <border>
      <left style="thin">
        <color rgb="FF1F3864"/>
      </left>
      <right/>
      <top style="thin">
        <color rgb="FF1F3864"/>
      </top>
      <bottom/>
      <diagonal/>
    </border>
    <border>
      <left/>
      <right style="thin">
        <color rgb="FF1F3864"/>
      </right>
      <top style="thin">
        <color rgb="FF1F3864"/>
      </top>
      <bottom/>
      <diagonal/>
    </border>
    <border>
      <left style="thin">
        <color rgb="FF1F3864"/>
      </left>
      <right style="thin">
        <color rgb="FFD9D9D9"/>
      </right>
      <top style="medium">
        <color rgb="FF2F75B6"/>
      </top>
      <bottom style="thin">
        <color rgb="FFD9D9D9"/>
      </bottom>
      <diagonal/>
    </border>
    <border>
      <left style="thin">
        <color rgb="FFD9D9D9"/>
      </left>
      <right style="thin">
        <color rgb="FFD9D9D9"/>
      </right>
      <top style="medium">
        <color rgb="FF2F75B6"/>
      </top>
      <bottom style="thin">
        <color rgb="FFD9D9D9"/>
      </bottom>
      <diagonal/>
    </border>
    <border>
      <left style="thin">
        <color rgb="FFD9D9D9"/>
      </left>
      <right style="thin">
        <color rgb="FFD9D9D9"/>
      </right>
      <top style="thin">
        <color rgb="FFD9D9D9"/>
      </top>
      <bottom style="thin">
        <color rgb="FFD9D9D9"/>
      </bottom>
      <diagonal/>
    </border>
    <border>
      <left style="thin">
        <color rgb="FF1F3864"/>
      </left>
      <right style="thin">
        <color rgb="FF1F3864"/>
      </right>
      <top style="thin">
        <color rgb="FF1F3864"/>
      </top>
      <bottom/>
      <diagonal/>
    </border>
    <border>
      <left style="thin">
        <color rgb="FF1F3864"/>
      </left>
      <right style="thin">
        <color rgb="FF1F3864"/>
      </right>
      <top/>
      <bottom style="thin">
        <color rgb="FFD9D9D9"/>
      </bottom>
      <diagonal/>
    </border>
    <border>
      <left style="thin">
        <color rgb="FF1F3864"/>
      </left>
      <right style="thin">
        <color rgb="FF1F3864"/>
      </right>
      <top style="thin">
        <color rgb="FFD9D9D9"/>
      </top>
      <bottom style="thin">
        <color rgb="FFD9D9D9"/>
      </bottom>
      <diagonal/>
    </border>
    <border>
      <left style="thin">
        <color rgb="FF1F3864"/>
      </left>
      <right style="thin">
        <color rgb="FF1F3864"/>
      </right>
      <top style="thin">
        <color rgb="FFD9D9D9"/>
      </top>
      <bottom style="thin">
        <color rgb="FF1F3864"/>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top style="thin">
        <color rgb="FFD9D9D9"/>
      </top>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top style="medium">
        <color rgb="FF2F75B6"/>
      </top>
      <bottom style="thin">
        <color rgb="FFD9D9D9"/>
      </bottom>
      <diagonal/>
    </border>
    <border>
      <left style="thin">
        <color rgb="FFD9D9D9"/>
      </left>
      <right/>
      <top/>
      <bottom style="thin">
        <color rgb="FFD9D9D9"/>
      </bottom>
      <diagonal/>
    </border>
    <border>
      <left/>
      <right style="thin">
        <color rgb="FFD9D9D9"/>
      </right>
      <top style="medium">
        <color rgb="FF2F75B6"/>
      </top>
      <bottom style="thin">
        <color rgb="FFD9D9D9"/>
      </bottom>
      <diagonal/>
    </border>
    <border>
      <left/>
      <right style="thin">
        <color rgb="FFD9D9D9"/>
      </right>
      <top style="thin">
        <color rgb="FFD9D9D9"/>
      </top>
      <bottom style="thin">
        <color rgb="FFD9D9D9"/>
      </bottom>
      <diagonal/>
    </border>
    <border>
      <left/>
      <right style="thin">
        <color rgb="FFD9D9D9"/>
      </right>
      <top/>
      <bottom style="thin">
        <color rgb="FFD9D9D9"/>
      </bottom>
      <diagonal/>
    </border>
    <border>
      <left/>
      <right style="thin">
        <color rgb="FFD9D9D9"/>
      </right>
      <top style="thin">
        <color rgb="FF1F3864"/>
      </top>
      <bottom style="medium">
        <color rgb="FF2F75B6"/>
      </bottom>
      <diagonal/>
    </border>
  </borders>
  <cellStyleXfs count="1">
    <xf numFmtId="0" fontId="0" fillId="0" borderId="0"/>
  </cellStyleXfs>
  <cellXfs count="119">
    <xf numFmtId="0" fontId="0" fillId="0" borderId="0" xfId="0"/>
    <xf numFmtId="0" fontId="4" fillId="4" borderId="1" xfId="0" applyFont="1" applyFill="1" applyBorder="1" applyAlignment="1">
      <alignment horizontal="left" vertical="center" indent="1"/>
    </xf>
    <xf numFmtId="0" fontId="5" fillId="5" borderId="1" xfId="0" applyFont="1" applyFill="1" applyBorder="1" applyAlignment="1">
      <alignment horizontal="left" vertical="center" wrapText="1" indent="1"/>
    </xf>
    <xf numFmtId="0" fontId="0" fillId="0" borderId="0" xfId="0" applyAlignment="1">
      <alignment wrapText="1"/>
    </xf>
    <xf numFmtId="0" fontId="6" fillId="6" borderId="3" xfId="0" applyFont="1" applyFill="1" applyBorder="1" applyAlignment="1">
      <alignment horizontal="center" vertical="center" wrapText="1"/>
    </xf>
    <xf numFmtId="0" fontId="6" fillId="6" borderId="2" xfId="0" applyFont="1" applyFill="1" applyBorder="1" applyAlignment="1">
      <alignment horizontal="center" vertical="center" wrapText="1"/>
    </xf>
    <xf numFmtId="0" fontId="10" fillId="6" borderId="4" xfId="0" applyFont="1" applyFill="1" applyBorder="1" applyAlignment="1">
      <alignment horizontal="center" vertical="center"/>
    </xf>
    <xf numFmtId="0" fontId="8" fillId="0" borderId="5" xfId="0" applyFont="1" applyBorder="1" applyAlignment="1">
      <alignment horizontal="center" vertical="top"/>
    </xf>
    <xf numFmtId="0" fontId="8" fillId="0" borderId="6" xfId="0" applyFont="1" applyBorder="1" applyAlignment="1">
      <alignment horizontal="left" vertical="top" wrapText="1"/>
    </xf>
    <xf numFmtId="0" fontId="8" fillId="0" borderId="6" xfId="0" applyFont="1" applyBorder="1" applyAlignment="1">
      <alignment horizontal="left" vertical="top"/>
    </xf>
    <xf numFmtId="0" fontId="8" fillId="0" borderId="6" xfId="0" applyFont="1" applyBorder="1" applyAlignment="1">
      <alignment horizontal="center" vertical="top"/>
    </xf>
    <xf numFmtId="0" fontId="7" fillId="0" borderId="6" xfId="0" applyFont="1" applyBorder="1" applyAlignment="1">
      <alignment horizontal="center" vertical="top"/>
    </xf>
    <xf numFmtId="14" fontId="8" fillId="0" borderId="6" xfId="0" applyNumberFormat="1" applyFont="1" applyBorder="1" applyAlignment="1">
      <alignment horizontal="center" vertical="top"/>
    </xf>
    <xf numFmtId="0" fontId="8" fillId="0" borderId="7" xfId="0" applyFont="1" applyBorder="1" applyAlignment="1">
      <alignment horizontal="left" vertical="top" wrapText="1"/>
    </xf>
    <xf numFmtId="0" fontId="8" fillId="0" borderId="7" xfId="0" applyFont="1" applyBorder="1" applyAlignment="1">
      <alignment horizontal="left" vertical="top"/>
    </xf>
    <xf numFmtId="0" fontId="8" fillId="0" borderId="7" xfId="0" applyFont="1" applyBorder="1" applyAlignment="1">
      <alignment horizontal="center" vertical="top"/>
    </xf>
    <xf numFmtId="0" fontId="7" fillId="0" borderId="7" xfId="0" applyFont="1" applyBorder="1" applyAlignment="1">
      <alignment horizontal="center" vertical="top"/>
    </xf>
    <xf numFmtId="14" fontId="8" fillId="0" borderId="7" xfId="0" applyNumberFormat="1" applyFont="1" applyBorder="1" applyAlignment="1">
      <alignment horizontal="center" vertical="top"/>
    </xf>
    <xf numFmtId="0" fontId="9" fillId="6" borderId="8" xfId="0" applyFont="1" applyFill="1" applyBorder="1" applyAlignment="1">
      <alignment horizontal="left" vertical="center"/>
    </xf>
    <xf numFmtId="0" fontId="0" fillId="0" borderId="9" xfId="0"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xf>
    <xf numFmtId="0" fontId="8" fillId="0" borderId="12" xfId="0" applyFont="1" applyBorder="1" applyAlignment="1">
      <alignment horizontal="left" vertical="top" wrapText="1"/>
    </xf>
    <xf numFmtId="0" fontId="8" fillId="0" borderId="12" xfId="0" applyFont="1" applyBorder="1" applyAlignment="1">
      <alignment horizontal="left" vertical="top"/>
    </xf>
    <xf numFmtId="0" fontId="8" fillId="0" borderId="12" xfId="0" applyFont="1" applyBorder="1" applyAlignment="1">
      <alignment horizontal="center" vertical="top"/>
    </xf>
    <xf numFmtId="14" fontId="8" fillId="0" borderId="12" xfId="0" applyNumberFormat="1" applyFont="1" applyBorder="1" applyAlignment="1">
      <alignment horizontal="center" vertical="top"/>
    </xf>
    <xf numFmtId="0" fontId="8" fillId="15" borderId="7" xfId="0" applyFont="1" applyFill="1" applyBorder="1" applyAlignment="1">
      <alignment horizontal="left" vertical="top" wrapText="1"/>
    </xf>
    <xf numFmtId="0" fontId="8" fillId="15" borderId="7" xfId="0" applyFont="1" applyFill="1" applyBorder="1" applyAlignment="1">
      <alignment horizontal="left" vertical="top"/>
    </xf>
    <xf numFmtId="0" fontId="11" fillId="8" borderId="7" xfId="0" applyFont="1" applyFill="1" applyBorder="1" applyAlignment="1">
      <alignment horizontal="center" vertical="top"/>
    </xf>
    <xf numFmtId="0" fontId="10" fillId="9" borderId="7" xfId="0" applyFont="1" applyFill="1" applyBorder="1" applyAlignment="1">
      <alignment horizontal="center" vertical="top"/>
    </xf>
    <xf numFmtId="0" fontId="8" fillId="15" borderId="7" xfId="0" applyFont="1" applyFill="1" applyBorder="1" applyAlignment="1">
      <alignment horizontal="center" vertical="top"/>
    </xf>
    <xf numFmtId="14" fontId="8" fillId="15" borderId="7" xfId="0" applyNumberFormat="1" applyFont="1" applyFill="1" applyBorder="1" applyAlignment="1">
      <alignment horizontal="center" vertical="top"/>
    </xf>
    <xf numFmtId="0" fontId="8" fillId="7" borderId="7" xfId="0" applyFont="1" applyFill="1" applyBorder="1" applyAlignment="1">
      <alignment horizontal="left" vertical="top" wrapText="1"/>
    </xf>
    <xf numFmtId="0" fontId="8" fillId="7" borderId="7" xfId="0" applyFont="1" applyFill="1" applyBorder="1" applyAlignment="1">
      <alignment horizontal="left" vertical="top"/>
    </xf>
    <xf numFmtId="0" fontId="8" fillId="7" borderId="7" xfId="0" applyFont="1" applyFill="1" applyBorder="1" applyAlignment="1">
      <alignment horizontal="center" vertical="top"/>
    </xf>
    <xf numFmtId="14" fontId="8" fillId="7" borderId="7" xfId="0" applyNumberFormat="1" applyFont="1" applyFill="1" applyBorder="1" applyAlignment="1">
      <alignment horizontal="center" vertical="top"/>
    </xf>
    <xf numFmtId="0" fontId="13" fillId="11" borderId="7" xfId="0" applyFont="1" applyFill="1" applyBorder="1" applyAlignment="1">
      <alignment horizontal="center" vertical="top"/>
    </xf>
    <xf numFmtId="0" fontId="10" fillId="14" borderId="7" xfId="0" applyFont="1" applyFill="1" applyBorder="1" applyAlignment="1">
      <alignment horizontal="center" vertical="top"/>
    </xf>
    <xf numFmtId="0" fontId="14" fillId="12" borderId="7" xfId="0" applyFont="1" applyFill="1" applyBorder="1" applyAlignment="1">
      <alignment horizontal="center" vertical="top"/>
    </xf>
    <xf numFmtId="0" fontId="15" fillId="13" borderId="7" xfId="0" applyFont="1" applyFill="1" applyBorder="1" applyAlignment="1">
      <alignment horizontal="center" vertical="top"/>
    </xf>
    <xf numFmtId="0" fontId="8" fillId="7" borderId="13" xfId="0" applyFont="1" applyFill="1" applyBorder="1" applyAlignment="1">
      <alignment horizontal="left" vertical="top" wrapText="1"/>
    </xf>
    <xf numFmtId="0" fontId="8" fillId="7" borderId="13" xfId="0" applyFont="1" applyFill="1" applyBorder="1" applyAlignment="1">
      <alignment horizontal="left" vertical="top"/>
    </xf>
    <xf numFmtId="0" fontId="11" fillId="8" borderId="13" xfId="0" applyFont="1" applyFill="1" applyBorder="1" applyAlignment="1">
      <alignment horizontal="center" vertical="top"/>
    </xf>
    <xf numFmtId="0" fontId="10" fillId="9" borderId="13" xfId="0" applyFont="1" applyFill="1" applyBorder="1" applyAlignment="1">
      <alignment horizontal="center" vertical="top"/>
    </xf>
    <xf numFmtId="0" fontId="8" fillId="7" borderId="13" xfId="0" applyFont="1" applyFill="1" applyBorder="1" applyAlignment="1">
      <alignment horizontal="center" vertical="top"/>
    </xf>
    <xf numFmtId="14" fontId="8" fillId="7" borderId="13" xfId="0" applyNumberFormat="1" applyFont="1" applyFill="1" applyBorder="1" applyAlignment="1">
      <alignment horizontal="center" vertical="top"/>
    </xf>
    <xf numFmtId="0" fontId="8" fillId="15" borderId="12" xfId="0" applyFont="1" applyFill="1" applyBorder="1" applyAlignment="1">
      <alignment horizontal="left" vertical="top" wrapText="1"/>
    </xf>
    <xf numFmtId="0" fontId="8" fillId="15" borderId="12" xfId="0" applyFont="1" applyFill="1" applyBorder="1" applyAlignment="1">
      <alignment horizontal="left" vertical="top"/>
    </xf>
    <xf numFmtId="0" fontId="11" fillId="8" borderId="12" xfId="0" applyFont="1" applyFill="1" applyBorder="1" applyAlignment="1">
      <alignment horizontal="center" vertical="top"/>
    </xf>
    <xf numFmtId="0" fontId="10" fillId="9" borderId="12" xfId="0" applyFont="1" applyFill="1" applyBorder="1" applyAlignment="1">
      <alignment horizontal="center" vertical="top"/>
    </xf>
    <xf numFmtId="0" fontId="8" fillId="15" borderId="12" xfId="0" applyFont="1" applyFill="1" applyBorder="1" applyAlignment="1">
      <alignment horizontal="center" vertical="top"/>
    </xf>
    <xf numFmtId="14" fontId="8" fillId="15" borderId="12" xfId="0" applyNumberFormat="1" applyFont="1" applyFill="1" applyBorder="1" applyAlignment="1">
      <alignment horizontal="center" vertical="top"/>
    </xf>
    <xf numFmtId="0" fontId="8" fillId="7" borderId="12" xfId="0" applyFont="1" applyFill="1" applyBorder="1" applyAlignment="1">
      <alignment horizontal="left" wrapText="1"/>
    </xf>
    <xf numFmtId="0" fontId="8" fillId="7" borderId="12" xfId="0" applyFont="1" applyFill="1" applyBorder="1" applyAlignment="1">
      <alignment horizontal="left"/>
    </xf>
    <xf numFmtId="0" fontId="15" fillId="13" borderId="12" xfId="0" applyFont="1" applyFill="1" applyBorder="1" applyAlignment="1">
      <alignment horizontal="center"/>
    </xf>
    <xf numFmtId="0" fontId="10" fillId="9" borderId="12" xfId="0" applyFont="1" applyFill="1" applyBorder="1" applyAlignment="1">
      <alignment horizontal="center"/>
    </xf>
    <xf numFmtId="0" fontId="8" fillId="7" borderId="12" xfId="0" applyFont="1" applyFill="1" applyBorder="1" applyAlignment="1">
      <alignment horizontal="center"/>
    </xf>
    <xf numFmtId="14" fontId="8" fillId="7" borderId="12" xfId="0" applyNumberFormat="1" applyFont="1" applyFill="1" applyBorder="1" applyAlignment="1">
      <alignment horizontal="center"/>
    </xf>
    <xf numFmtId="0" fontId="0" fillId="15" borderId="12" xfId="0" applyFill="1" applyBorder="1" applyAlignment="1">
      <alignment horizontal="left" wrapText="1"/>
    </xf>
    <xf numFmtId="0" fontId="0" fillId="15" borderId="12" xfId="0" applyFill="1" applyBorder="1" applyAlignment="1">
      <alignment horizontal="left"/>
    </xf>
    <xf numFmtId="0" fontId="16" fillId="13" borderId="12" xfId="0" applyFont="1" applyFill="1" applyBorder="1" applyAlignment="1">
      <alignment horizontal="center"/>
    </xf>
    <xf numFmtId="0" fontId="17" fillId="16" borderId="12" xfId="0" applyFont="1" applyFill="1" applyBorder="1" applyAlignment="1">
      <alignment horizontal="center"/>
    </xf>
    <xf numFmtId="0" fontId="0" fillId="15" borderId="12" xfId="0" applyFill="1" applyBorder="1" applyAlignment="1">
      <alignment horizontal="center"/>
    </xf>
    <xf numFmtId="14" fontId="0" fillId="15" borderId="12" xfId="0" applyNumberFormat="1" applyFill="1" applyBorder="1" applyAlignment="1">
      <alignment horizontal="center"/>
    </xf>
    <xf numFmtId="0" fontId="0" fillId="7" borderId="12" xfId="0" applyFill="1" applyBorder="1" applyAlignment="1">
      <alignment horizontal="left" wrapText="1"/>
    </xf>
    <xf numFmtId="0" fontId="0" fillId="7" borderId="12" xfId="0" applyFill="1" applyBorder="1" applyAlignment="1">
      <alignment horizontal="left"/>
    </xf>
    <xf numFmtId="0" fontId="0" fillId="7" borderId="12" xfId="0" applyFill="1" applyBorder="1" applyAlignment="1">
      <alignment horizontal="center"/>
    </xf>
    <xf numFmtId="14" fontId="0" fillId="7" borderId="12" xfId="0" applyNumberFormat="1" applyFill="1" applyBorder="1" applyAlignment="1">
      <alignment horizontal="center"/>
    </xf>
    <xf numFmtId="0" fontId="19" fillId="0" borderId="5" xfId="0" applyFont="1" applyBorder="1" applyAlignment="1">
      <alignment horizontal="center" vertical="top"/>
    </xf>
    <xf numFmtId="14" fontId="0" fillId="0" borderId="0" xfId="0" applyNumberFormat="1"/>
    <xf numFmtId="0" fontId="0" fillId="15" borderId="14" xfId="0" applyFill="1" applyBorder="1" applyAlignment="1">
      <alignment horizontal="left"/>
    </xf>
    <xf numFmtId="0" fontId="16" fillId="13" borderId="15" xfId="0" applyFont="1" applyFill="1" applyBorder="1" applyAlignment="1">
      <alignment horizontal="center"/>
    </xf>
    <xf numFmtId="0" fontId="0" fillId="15" borderId="16" xfId="0" applyFill="1" applyBorder="1" applyAlignment="1">
      <alignment horizontal="center"/>
    </xf>
    <xf numFmtId="0" fontId="17" fillId="16" borderId="7" xfId="0" applyFont="1" applyFill="1" applyBorder="1" applyAlignment="1">
      <alignment horizontal="center"/>
    </xf>
    <xf numFmtId="0" fontId="0" fillId="7" borderId="14" xfId="0" applyFill="1" applyBorder="1" applyAlignment="1">
      <alignment horizontal="left"/>
    </xf>
    <xf numFmtId="0" fontId="16" fillId="13" borderId="14" xfId="0" applyFont="1" applyFill="1" applyBorder="1" applyAlignment="1">
      <alignment horizontal="center"/>
    </xf>
    <xf numFmtId="0" fontId="0" fillId="7" borderId="16" xfId="0" applyFill="1" applyBorder="1" applyAlignment="1">
      <alignment horizontal="center"/>
    </xf>
    <xf numFmtId="0" fontId="13" fillId="11" borderId="12" xfId="0" applyFont="1" applyFill="1" applyBorder="1" applyAlignment="1">
      <alignment horizontal="center" vertical="top"/>
    </xf>
    <xf numFmtId="0" fontId="19" fillId="7" borderId="15" xfId="0" applyFont="1" applyFill="1" applyBorder="1" applyAlignment="1">
      <alignment horizontal="center"/>
    </xf>
    <xf numFmtId="0" fontId="8" fillId="0" borderId="17" xfId="0" applyFont="1" applyBorder="1" applyAlignment="1">
      <alignment horizontal="left" vertical="top" wrapText="1"/>
    </xf>
    <xf numFmtId="0" fontId="8" fillId="0" borderId="15" xfId="0" applyFont="1" applyBorder="1" applyAlignment="1">
      <alignment horizontal="left" vertical="top" wrapText="1"/>
    </xf>
    <xf numFmtId="0" fontId="8" fillId="0" borderId="14" xfId="0" applyFont="1" applyBorder="1" applyAlignment="1">
      <alignment horizontal="left" vertical="top" wrapText="1"/>
    </xf>
    <xf numFmtId="0" fontId="8" fillId="7" borderId="18" xfId="0" applyFont="1" applyFill="1" applyBorder="1" applyAlignment="1">
      <alignment horizontal="left" vertical="top"/>
    </xf>
    <xf numFmtId="0" fontId="8" fillId="15" borderId="15" xfId="0" applyFont="1" applyFill="1" applyBorder="1" applyAlignment="1">
      <alignment horizontal="left" vertical="top"/>
    </xf>
    <xf numFmtId="0" fontId="8" fillId="7" borderId="15" xfId="0" applyFont="1" applyFill="1" applyBorder="1" applyAlignment="1">
      <alignment horizontal="left" vertical="top"/>
    </xf>
    <xf numFmtId="0" fontId="8" fillId="15" borderId="14" xfId="0" applyFont="1" applyFill="1" applyBorder="1" applyAlignment="1">
      <alignment horizontal="left" vertical="top"/>
    </xf>
    <xf numFmtId="0" fontId="8" fillId="7" borderId="14" xfId="0" applyFont="1" applyFill="1" applyBorder="1" applyAlignment="1">
      <alignment horizontal="left"/>
    </xf>
    <xf numFmtId="0" fontId="8" fillId="0" borderId="19" xfId="0" applyFont="1" applyBorder="1" applyAlignment="1">
      <alignment horizontal="left" vertical="top" wrapText="1"/>
    </xf>
    <xf numFmtId="0" fontId="8" fillId="0" borderId="20" xfId="0" applyFont="1" applyBorder="1" applyAlignment="1">
      <alignment horizontal="left" vertical="top" wrapText="1"/>
    </xf>
    <xf numFmtId="0" fontId="8" fillId="0" borderId="16" xfId="0" applyFont="1" applyBorder="1" applyAlignment="1">
      <alignment horizontal="left" vertical="top" wrapText="1"/>
    </xf>
    <xf numFmtId="0" fontId="8" fillId="7" borderId="21" xfId="0" applyFont="1" applyFill="1" applyBorder="1" applyAlignment="1">
      <alignment horizontal="left" vertical="top"/>
    </xf>
    <xf numFmtId="0" fontId="8" fillId="15" borderId="20" xfId="0" applyFont="1" applyFill="1" applyBorder="1" applyAlignment="1">
      <alignment horizontal="left" vertical="top"/>
    </xf>
    <xf numFmtId="0" fontId="8" fillId="7" borderId="20" xfId="0" applyFont="1" applyFill="1" applyBorder="1" applyAlignment="1">
      <alignment horizontal="left" vertical="top"/>
    </xf>
    <xf numFmtId="0" fontId="8" fillId="15" borderId="16" xfId="0" applyFont="1" applyFill="1" applyBorder="1" applyAlignment="1">
      <alignment horizontal="left" vertical="top"/>
    </xf>
    <xf numFmtId="0" fontId="8" fillId="7" borderId="16" xfId="0" applyFont="1" applyFill="1" applyBorder="1" applyAlignment="1">
      <alignment horizontal="left"/>
    </xf>
    <xf numFmtId="0" fontId="0" fillId="15" borderId="16" xfId="0" applyFill="1" applyBorder="1" applyAlignment="1">
      <alignment horizontal="left"/>
    </xf>
    <xf numFmtId="0" fontId="0" fillId="7" borderId="16" xfId="0" applyFill="1" applyBorder="1" applyAlignment="1">
      <alignment horizontal="left"/>
    </xf>
    <xf numFmtId="0" fontId="12" fillId="10" borderId="13" xfId="0" applyFont="1" applyFill="1" applyBorder="1" applyAlignment="1">
      <alignment horizontal="center" vertical="top"/>
    </xf>
    <xf numFmtId="0" fontId="12" fillId="10" borderId="7" xfId="0" applyFont="1" applyFill="1" applyBorder="1" applyAlignment="1">
      <alignment horizontal="center" vertical="top"/>
    </xf>
    <xf numFmtId="0" fontId="12" fillId="10" borderId="12" xfId="0" applyFont="1" applyFill="1" applyBorder="1" applyAlignment="1">
      <alignment horizontal="center" vertical="top"/>
    </xf>
    <xf numFmtId="0" fontId="12" fillId="10" borderId="12" xfId="0" applyFont="1" applyFill="1" applyBorder="1" applyAlignment="1">
      <alignment horizontal="center"/>
    </xf>
    <xf numFmtId="0" fontId="18" fillId="10" borderId="12" xfId="0" applyFont="1" applyFill="1" applyBorder="1" applyAlignment="1">
      <alignment horizontal="center"/>
    </xf>
    <xf numFmtId="0" fontId="8" fillId="0" borderId="13" xfId="0" applyFont="1" applyBorder="1" applyAlignment="1">
      <alignment horizontal="center" vertical="top"/>
    </xf>
    <xf numFmtId="0" fontId="10" fillId="6" borderId="22" xfId="0" applyFont="1" applyFill="1" applyBorder="1" applyAlignment="1">
      <alignment horizontal="center" vertical="center"/>
    </xf>
    <xf numFmtId="0" fontId="3" fillId="3" borderId="0" xfId="0" applyFont="1" applyFill="1" applyAlignment="1">
      <alignment horizontal="left" vertical="center" indent="1"/>
    </xf>
    <xf numFmtId="0" fontId="1" fillId="2" borderId="0" xfId="0" applyFont="1" applyFill="1" applyAlignment="1">
      <alignment horizontal="left" vertical="center" indent="1"/>
    </xf>
    <xf numFmtId="0" fontId="2" fillId="0" borderId="0" xfId="0" applyFont="1" applyAlignment="1">
      <alignment horizontal="left" vertical="center" wrapText="1" indent="1"/>
    </xf>
    <xf numFmtId="0" fontId="6" fillId="6" borderId="2" xfId="0" applyNumberFormat="1" applyFont="1" applyFill="1" applyBorder="1" applyAlignment="1">
      <alignment horizontal="center" vertical="center" wrapText="1"/>
    </xf>
    <xf numFmtId="0" fontId="8" fillId="0" borderId="6" xfId="0" applyNumberFormat="1" applyFont="1" applyBorder="1" applyAlignment="1">
      <alignment horizontal="center" vertical="top"/>
    </xf>
    <xf numFmtId="0" fontId="8" fillId="0" borderId="7" xfId="0" applyNumberFormat="1" applyFont="1" applyBorder="1" applyAlignment="1">
      <alignment horizontal="center" vertical="top"/>
    </xf>
    <xf numFmtId="0" fontId="8" fillId="0" borderId="12" xfId="0" applyNumberFormat="1" applyFont="1" applyBorder="1" applyAlignment="1">
      <alignment horizontal="center" vertical="top"/>
    </xf>
    <xf numFmtId="0" fontId="8" fillId="7" borderId="13" xfId="0" applyNumberFormat="1" applyFont="1" applyFill="1" applyBorder="1" applyAlignment="1">
      <alignment horizontal="center" vertical="top"/>
    </xf>
    <xf numFmtId="0" fontId="8" fillId="15" borderId="7" xfId="0" applyNumberFormat="1" applyFont="1" applyFill="1" applyBorder="1" applyAlignment="1">
      <alignment horizontal="center" vertical="top"/>
    </xf>
    <xf numFmtId="0" fontId="8" fillId="7" borderId="7" xfId="0" applyNumberFormat="1" applyFont="1" applyFill="1" applyBorder="1" applyAlignment="1">
      <alignment horizontal="center" vertical="top"/>
    </xf>
    <xf numFmtId="0" fontId="8" fillId="15" borderId="12" xfId="0" applyNumberFormat="1" applyFont="1" applyFill="1" applyBorder="1" applyAlignment="1">
      <alignment horizontal="center" vertical="top"/>
    </xf>
    <xf numFmtId="0" fontId="8" fillId="7" borderId="12" xfId="0" applyNumberFormat="1" applyFont="1" applyFill="1" applyBorder="1" applyAlignment="1">
      <alignment horizontal="center"/>
    </xf>
    <xf numFmtId="0" fontId="0" fillId="15" borderId="12" xfId="0" applyNumberFormat="1" applyFill="1" applyBorder="1" applyAlignment="1">
      <alignment horizontal="center"/>
    </xf>
    <xf numFmtId="0" fontId="0" fillId="7" borderId="12" xfId="0" applyNumberFormat="1" applyFill="1" applyBorder="1" applyAlignment="1">
      <alignment horizontal="center"/>
    </xf>
    <xf numFmtId="0" fontId="0" fillId="0" borderId="0" xfId="0" applyNumberFormat="1"/>
  </cellXfs>
  <cellStyles count="1">
    <cellStyle name="Normal" xfId="0" builtinId="0"/>
  </cellStyles>
  <dxfs count="9">
    <dxf>
      <fill>
        <patternFill patternType="solid">
          <fgColor indexed="64"/>
          <bgColor rgb="FFF4F7FB"/>
        </patternFill>
      </fill>
    </dxf>
    <dxf>
      <fill>
        <patternFill patternType="solid">
          <fgColor indexed="64"/>
          <bgColor rgb="FFF4F7FB"/>
        </patternFill>
      </fill>
    </dxf>
    <dxf>
      <font>
        <b/>
        <i val="0"/>
        <color rgb="FF375623"/>
      </font>
      <fill>
        <patternFill patternType="solid">
          <fgColor indexed="64"/>
          <bgColor rgb="FFC6E0B4"/>
        </patternFill>
      </fill>
    </dxf>
    <dxf>
      <font>
        <b/>
        <i val="0"/>
        <color rgb="FF7F6000"/>
      </font>
      <fill>
        <patternFill patternType="solid">
          <fgColor indexed="64"/>
          <bgColor rgb="FFFFD966"/>
        </patternFill>
      </fill>
    </dxf>
    <dxf>
      <font>
        <b/>
        <i val="0"/>
        <color rgb="FFFFFFFF"/>
      </font>
      <fill>
        <patternFill patternType="solid">
          <fgColor indexed="64"/>
          <bgColor rgb="FFED7D31"/>
        </patternFill>
      </fill>
    </dxf>
    <dxf>
      <font>
        <b/>
        <i val="0"/>
        <color rgb="FF3F3F3F"/>
      </font>
      <fill>
        <patternFill patternType="solid">
          <fgColor indexed="64"/>
          <bgColor rgb="FFE7E6E6"/>
        </patternFill>
      </fill>
    </dxf>
    <dxf>
      <font>
        <b/>
        <i val="0"/>
        <color rgb="FF1F4E78"/>
      </font>
      <fill>
        <patternFill patternType="solid">
          <fgColor indexed="64"/>
          <bgColor rgb="FFBDD7EE"/>
        </patternFill>
      </fill>
    </dxf>
    <dxf>
      <font>
        <b/>
        <i val="0"/>
        <color rgb="FF7F6000"/>
      </font>
      <fill>
        <patternFill patternType="solid">
          <fgColor indexed="64"/>
          <bgColor rgb="FFFFE699"/>
        </patternFill>
      </fill>
    </dxf>
    <dxf>
      <font>
        <b/>
        <i val="0"/>
        <color rgb="FF375623"/>
      </font>
      <fill>
        <patternFill patternType="solid">
          <fgColor indexed="64"/>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9593AD9-6603-48F2-AB71-1E2A1C93F944}">
  <we:reference id="wa200009404" version="1.0.0.8" store="en-US" storeType="OMEX"/>
  <we:alternateReferences>
    <we:reference id="WA200009404" version="1.0.0.8" store="" storeType="OMEX"/>
  </we:alternateReferences>
  <we:properties>
    <we:property name="claude.fileId" value="&quot;bc073a99-e655-447d-9a4f-f45eecc1fb5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38"/>
  <sheetViews>
    <sheetView showGridLines="0" workbookViewId="0"/>
  </sheetViews>
  <sheetFormatPr defaultRowHeight="14.4" x14ac:dyDescent="0.3"/>
  <cols>
    <col min="1" max="1" width="3" customWidth="1"/>
    <col min="2" max="2" width="28" customWidth="1"/>
    <col min="3" max="3" width="60" customWidth="1"/>
    <col min="4" max="4" width="3" customWidth="1"/>
  </cols>
  <sheetData>
    <row r="2" spans="2:3" ht="36" customHeight="1" x14ac:dyDescent="0.3">
      <c r="B2" s="105" t="s">
        <v>0</v>
      </c>
      <c r="C2" s="105"/>
    </row>
    <row r="4" spans="2:3" ht="18" customHeight="1" x14ac:dyDescent="0.3">
      <c r="B4" s="106" t="s">
        <v>1</v>
      </c>
      <c r="C4" s="106"/>
    </row>
    <row r="6" spans="2:3" ht="24" customHeight="1" x14ac:dyDescent="0.3">
      <c r="B6" s="104" t="s">
        <v>2</v>
      </c>
      <c r="C6" s="104"/>
    </row>
    <row r="7" spans="2:3" ht="19.95" customHeight="1" x14ac:dyDescent="0.3">
      <c r="B7" s="1" t="s">
        <v>3</v>
      </c>
      <c r="C7" s="2" t="s">
        <v>4</v>
      </c>
    </row>
    <row r="8" spans="2:3" ht="19.95" customHeight="1" x14ac:dyDescent="0.3">
      <c r="B8" s="1" t="s">
        <v>5</v>
      </c>
      <c r="C8" s="2" t="s">
        <v>6</v>
      </c>
    </row>
    <row r="9" spans="2:3" ht="19.95" customHeight="1" x14ac:dyDescent="0.3">
      <c r="B9" s="1" t="s">
        <v>7</v>
      </c>
      <c r="C9" s="2" t="s">
        <v>8</v>
      </c>
    </row>
    <row r="11" spans="2:3" ht="24" customHeight="1" x14ac:dyDescent="0.3">
      <c r="B11" s="104" t="s">
        <v>9</v>
      </c>
      <c r="C11" s="104"/>
    </row>
    <row r="12" spans="2:3" ht="19.95" customHeight="1" x14ac:dyDescent="0.3">
      <c r="B12" s="1" t="s">
        <v>10</v>
      </c>
      <c r="C12" s="2" t="s">
        <v>11</v>
      </c>
    </row>
    <row r="13" spans="2:3" ht="19.95" customHeight="1" x14ac:dyDescent="0.3">
      <c r="B13" s="1" t="s">
        <v>12</v>
      </c>
      <c r="C13" s="2" t="s">
        <v>13</v>
      </c>
    </row>
    <row r="14" spans="2:3" ht="19.95" customHeight="1" x14ac:dyDescent="0.3">
      <c r="B14" s="1" t="s">
        <v>14</v>
      </c>
      <c r="C14" s="2" t="s">
        <v>15</v>
      </c>
    </row>
    <row r="15" spans="2:3" ht="19.95" customHeight="1" x14ac:dyDescent="0.3">
      <c r="B15" s="1" t="s">
        <v>16</v>
      </c>
      <c r="C15" s="2" t="s">
        <v>17</v>
      </c>
    </row>
    <row r="16" spans="2:3" ht="19.95" customHeight="1" x14ac:dyDescent="0.3">
      <c r="B16" s="1" t="s">
        <v>18</v>
      </c>
      <c r="C16" s="2" t="s">
        <v>19</v>
      </c>
    </row>
    <row r="17" spans="2:3" ht="19.95" customHeight="1" x14ac:dyDescent="0.3">
      <c r="B17" s="1" t="s">
        <v>20</v>
      </c>
      <c r="C17" s="2" t="s">
        <v>21</v>
      </c>
    </row>
    <row r="18" spans="2:3" ht="19.95" customHeight="1" x14ac:dyDescent="0.3">
      <c r="B18" s="1" t="s">
        <v>22</v>
      </c>
      <c r="C18" s="2" t="s">
        <v>23</v>
      </c>
    </row>
    <row r="19" spans="2:3" ht="19.95" customHeight="1" x14ac:dyDescent="0.3">
      <c r="B19" s="1" t="s">
        <v>24</v>
      </c>
      <c r="C19" s="2" t="s">
        <v>25</v>
      </c>
    </row>
    <row r="20" spans="2:3" ht="19.95" customHeight="1" x14ac:dyDescent="0.3">
      <c r="B20" s="1" t="s">
        <v>26</v>
      </c>
      <c r="C20" s="2" t="s">
        <v>27</v>
      </c>
    </row>
    <row r="21" spans="2:3" ht="19.95" customHeight="1" x14ac:dyDescent="0.3">
      <c r="B21" s="1" t="s">
        <v>28</v>
      </c>
      <c r="C21" s="2" t="s">
        <v>29</v>
      </c>
    </row>
    <row r="22" spans="2:3" ht="19.95" customHeight="1" x14ac:dyDescent="0.3">
      <c r="B22" s="1" t="s">
        <v>30</v>
      </c>
      <c r="C22" s="2" t="s">
        <v>31</v>
      </c>
    </row>
    <row r="23" spans="2:3" ht="19.95" customHeight="1" x14ac:dyDescent="0.3">
      <c r="B23" s="1" t="s">
        <v>32</v>
      </c>
      <c r="C23" s="2" t="s">
        <v>33</v>
      </c>
    </row>
    <row r="25" spans="2:3" ht="24" customHeight="1" x14ac:dyDescent="0.3">
      <c r="B25" s="104" t="s">
        <v>34</v>
      </c>
      <c r="C25" s="104"/>
    </row>
    <row r="26" spans="2:3" ht="19.95" customHeight="1" x14ac:dyDescent="0.3">
      <c r="B26" s="1" t="s">
        <v>35</v>
      </c>
      <c r="C26" s="2" t="s">
        <v>36</v>
      </c>
    </row>
    <row r="27" spans="2:3" ht="19.95" customHeight="1" x14ac:dyDescent="0.3">
      <c r="B27" s="1" t="s">
        <v>37</v>
      </c>
      <c r="C27" s="2" t="s">
        <v>38</v>
      </c>
    </row>
    <row r="28" spans="2:3" ht="19.95" customHeight="1" x14ac:dyDescent="0.3">
      <c r="B28" s="1" t="s">
        <v>39</v>
      </c>
      <c r="C28" s="2" t="s">
        <v>40</v>
      </c>
    </row>
    <row r="29" spans="2:3" ht="19.95" customHeight="1" x14ac:dyDescent="0.3">
      <c r="B29" s="1" t="s">
        <v>41</v>
      </c>
      <c r="C29" s="2" t="s">
        <v>42</v>
      </c>
    </row>
    <row r="30" spans="2:3" ht="19.95" customHeight="1" x14ac:dyDescent="0.3">
      <c r="B30" s="1" t="s">
        <v>43</v>
      </c>
      <c r="C30" s="2" t="s">
        <v>44</v>
      </c>
    </row>
    <row r="31" spans="2:3" ht="19.95" customHeight="1" x14ac:dyDescent="0.3">
      <c r="B31" s="1" t="s">
        <v>45</v>
      </c>
      <c r="C31" s="2" t="s">
        <v>46</v>
      </c>
    </row>
    <row r="33" spans="2:3" ht="24" customHeight="1" x14ac:dyDescent="0.3">
      <c r="B33" s="104" t="s">
        <v>47</v>
      </c>
      <c r="C33" s="104"/>
    </row>
    <row r="34" spans="2:3" ht="19.95" customHeight="1" x14ac:dyDescent="0.3">
      <c r="B34" s="1" t="s">
        <v>48</v>
      </c>
      <c r="C34" s="2" t="s">
        <v>49</v>
      </c>
    </row>
    <row r="35" spans="2:3" ht="19.95" customHeight="1" x14ac:dyDescent="0.3">
      <c r="B35" s="1" t="s">
        <v>50</v>
      </c>
      <c r="C35" s="2" t="s">
        <v>51</v>
      </c>
    </row>
    <row r="36" spans="2:3" ht="19.95" customHeight="1" x14ac:dyDescent="0.3">
      <c r="B36" s="1" t="s">
        <v>52</v>
      </c>
      <c r="C36" s="2" t="s">
        <v>53</v>
      </c>
    </row>
    <row r="37" spans="2:3" ht="19.95" customHeight="1" x14ac:dyDescent="0.3">
      <c r="B37" s="1" t="s">
        <v>54</v>
      </c>
      <c r="C37" s="2" t="s">
        <v>55</v>
      </c>
    </row>
    <row r="38" spans="2:3" ht="19.95" customHeight="1" x14ac:dyDescent="0.3">
      <c r="B38" s="1" t="s">
        <v>56</v>
      </c>
      <c r="C38" s="2" t="s">
        <v>57</v>
      </c>
    </row>
  </sheetData>
  <mergeCells count="6">
    <mergeCell ref="B33:C33"/>
    <mergeCell ref="B2:C2"/>
    <mergeCell ref="B4:C4"/>
    <mergeCell ref="B6:C6"/>
    <mergeCell ref="B11:C11"/>
    <mergeCell ref="B25:C25"/>
  </mergeCell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1000"/>
  <sheetViews>
    <sheetView tabSelected="1" zoomScaleNormal="100" workbookViewId="0">
      <pane ySplit="1" topLeftCell="A228" activePane="bottomLeft" state="frozen"/>
      <selection pane="bottomLeft" activeCell="N248" sqref="N248"/>
    </sheetView>
  </sheetViews>
  <sheetFormatPr defaultRowHeight="14.4" x14ac:dyDescent="0.3"/>
  <cols>
    <col min="1" max="1" width="7.6640625" customWidth="1"/>
    <col min="2" max="2" width="51.88671875" style="3" customWidth="1"/>
    <col min="3" max="3" width="70.33203125" style="3" customWidth="1"/>
    <col min="4" max="4" width="22.33203125" customWidth="1"/>
    <col min="5" max="5" width="20.33203125" customWidth="1"/>
    <col min="6" max="6" width="16.6640625" customWidth="1"/>
    <col min="7" max="7" width="11.109375" customWidth="1"/>
    <col min="8" max="8" width="16.6640625" style="118" customWidth="1"/>
    <col min="9" max="10" width="17.5546875" customWidth="1"/>
    <col min="11" max="11" width="22.33203125" customWidth="1"/>
    <col min="12" max="12" width="44.44140625" customWidth="1"/>
    <col min="13" max="13" width="16.6640625" customWidth="1"/>
    <col min="14" max="14" width="11.109375" bestFit="1" customWidth="1"/>
  </cols>
  <sheetData>
    <row r="1" spans="1:14" ht="28.2" customHeight="1" thickBot="1" x14ac:dyDescent="0.35">
      <c r="A1" s="4" t="s">
        <v>10</v>
      </c>
      <c r="B1" s="5" t="s">
        <v>12</v>
      </c>
      <c r="C1" s="5" t="s">
        <v>14</v>
      </c>
      <c r="D1" s="5" t="s">
        <v>16</v>
      </c>
      <c r="E1" s="5" t="s">
        <v>18</v>
      </c>
      <c r="F1" s="5" t="s">
        <v>20</v>
      </c>
      <c r="G1" s="5" t="s">
        <v>22</v>
      </c>
      <c r="H1" s="107" t="s">
        <v>24</v>
      </c>
      <c r="I1" s="5" t="s">
        <v>26</v>
      </c>
      <c r="J1" s="5" t="s">
        <v>28</v>
      </c>
      <c r="K1" s="5" t="s">
        <v>30</v>
      </c>
      <c r="L1" s="5" t="s">
        <v>32</v>
      </c>
      <c r="M1" s="103" t="s">
        <v>58</v>
      </c>
      <c r="N1" s="6" t="s">
        <v>489</v>
      </c>
    </row>
    <row r="2" spans="1:14" ht="31.95" customHeight="1" thickBot="1" x14ac:dyDescent="0.35">
      <c r="A2" s="7">
        <f t="shared" ref="A2:A65" si="0">IF($B2="","",ROW()-1)</f>
        <v>1</v>
      </c>
      <c r="B2" s="8" t="s">
        <v>59</v>
      </c>
      <c r="C2" s="8" t="s">
        <v>60</v>
      </c>
      <c r="D2" s="9" t="s">
        <v>61</v>
      </c>
      <c r="E2" s="10" t="s">
        <v>62</v>
      </c>
      <c r="F2" s="11" t="s">
        <v>63</v>
      </c>
      <c r="G2" s="10"/>
      <c r="H2" s="108"/>
      <c r="I2" s="12"/>
      <c r="J2" s="12"/>
      <c r="K2" s="9"/>
      <c r="L2" s="79"/>
      <c r="M2" s="102" t="s">
        <v>64</v>
      </c>
      <c r="N2" s="87"/>
    </row>
    <row r="3" spans="1:14" ht="31.95" customHeight="1" thickBot="1" x14ac:dyDescent="0.35">
      <c r="A3" s="68">
        <f t="shared" si="0"/>
        <v>2</v>
      </c>
      <c r="B3" s="13" t="s">
        <v>65</v>
      </c>
      <c r="C3" s="13"/>
      <c r="D3" s="14" t="s">
        <v>61</v>
      </c>
      <c r="E3" s="15" t="s">
        <v>62</v>
      </c>
      <c r="F3" s="16" t="s">
        <v>63</v>
      </c>
      <c r="G3" s="15"/>
      <c r="H3" s="109"/>
      <c r="I3" s="17"/>
      <c r="J3" s="17"/>
      <c r="K3" s="14"/>
      <c r="L3" s="80"/>
      <c r="M3" s="15" t="s">
        <v>64</v>
      </c>
      <c r="N3" s="88"/>
    </row>
    <row r="4" spans="1:14" ht="31.95" customHeight="1" thickBot="1" x14ac:dyDescent="0.35">
      <c r="A4" s="68">
        <f t="shared" si="0"/>
        <v>3</v>
      </c>
      <c r="B4" s="13" t="s">
        <v>66</v>
      </c>
      <c r="C4" s="13"/>
      <c r="D4" s="14" t="s">
        <v>61</v>
      </c>
      <c r="E4" s="15" t="s">
        <v>62</v>
      </c>
      <c r="F4" s="16" t="s">
        <v>63</v>
      </c>
      <c r="G4" s="15"/>
      <c r="H4" s="109"/>
      <c r="I4" s="17"/>
      <c r="J4" s="17"/>
      <c r="K4" s="14"/>
      <c r="L4" s="80"/>
      <c r="M4" s="15" t="s">
        <v>64</v>
      </c>
      <c r="N4" s="88"/>
    </row>
    <row r="5" spans="1:14" ht="31.95" customHeight="1" thickBot="1" x14ac:dyDescent="0.35">
      <c r="A5" s="68">
        <f t="shared" si="0"/>
        <v>4</v>
      </c>
      <c r="B5" s="13" t="s">
        <v>67</v>
      </c>
      <c r="C5" s="13"/>
      <c r="D5" s="14" t="s">
        <v>61</v>
      </c>
      <c r="E5" s="15" t="s">
        <v>62</v>
      </c>
      <c r="F5" s="15" t="s">
        <v>68</v>
      </c>
      <c r="G5" s="15"/>
      <c r="H5" s="109"/>
      <c r="I5" s="17"/>
      <c r="J5" s="17"/>
      <c r="K5" s="14"/>
      <c r="L5" s="80"/>
      <c r="M5" s="15" t="s">
        <v>64</v>
      </c>
      <c r="N5" s="88"/>
    </row>
    <row r="6" spans="1:14" ht="31.95" customHeight="1" thickBot="1" x14ac:dyDescent="0.35">
      <c r="A6" s="68">
        <f t="shared" si="0"/>
        <v>5</v>
      </c>
      <c r="B6" s="13" t="s">
        <v>69</v>
      </c>
      <c r="C6" s="13"/>
      <c r="D6" s="14" t="s">
        <v>61</v>
      </c>
      <c r="E6" s="15" t="s">
        <v>62</v>
      </c>
      <c r="F6" s="15" t="s">
        <v>68</v>
      </c>
      <c r="G6" s="15"/>
      <c r="H6" s="109"/>
      <c r="I6" s="17"/>
      <c r="J6" s="17"/>
      <c r="K6" s="14"/>
      <c r="L6" s="80"/>
      <c r="M6" s="15" t="s">
        <v>64</v>
      </c>
      <c r="N6" s="88"/>
    </row>
    <row r="7" spans="1:14" ht="31.95" customHeight="1" thickBot="1" x14ac:dyDescent="0.35">
      <c r="A7" s="68">
        <f t="shared" si="0"/>
        <v>6</v>
      </c>
      <c r="B7" s="13" t="s">
        <v>70</v>
      </c>
      <c r="C7" s="13"/>
      <c r="D7" s="14" t="s">
        <v>61</v>
      </c>
      <c r="E7" s="15" t="s">
        <v>71</v>
      </c>
      <c r="F7" s="15" t="s">
        <v>68</v>
      </c>
      <c r="G7" s="15"/>
      <c r="H7" s="109"/>
      <c r="I7" s="17"/>
      <c r="J7" s="17"/>
      <c r="K7" s="14"/>
      <c r="L7" s="80"/>
      <c r="M7" s="15" t="s">
        <v>64</v>
      </c>
      <c r="N7" s="88"/>
    </row>
    <row r="8" spans="1:14" ht="31.95" customHeight="1" thickBot="1" x14ac:dyDescent="0.35">
      <c r="A8" s="68">
        <f t="shared" si="0"/>
        <v>7</v>
      </c>
      <c r="B8" s="13" t="s">
        <v>72</v>
      </c>
      <c r="C8" s="13"/>
      <c r="D8" s="14" t="s">
        <v>61</v>
      </c>
      <c r="E8" s="15" t="s">
        <v>73</v>
      </c>
      <c r="F8" s="15" t="s">
        <v>63</v>
      </c>
      <c r="G8" s="15"/>
      <c r="H8" s="109"/>
      <c r="I8" s="17"/>
      <c r="J8" s="17"/>
      <c r="K8" s="14"/>
      <c r="L8" s="80"/>
      <c r="M8" s="15" t="s">
        <v>64</v>
      </c>
      <c r="N8" s="88"/>
    </row>
    <row r="9" spans="1:14" ht="31.95" customHeight="1" thickBot="1" x14ac:dyDescent="0.35">
      <c r="A9" s="68">
        <f t="shared" si="0"/>
        <v>8</v>
      </c>
      <c r="B9" s="13" t="s">
        <v>74</v>
      </c>
      <c r="C9" s="13"/>
      <c r="D9" s="14" t="s">
        <v>61</v>
      </c>
      <c r="E9" s="15" t="s">
        <v>71</v>
      </c>
      <c r="F9" s="15" t="s">
        <v>75</v>
      </c>
      <c r="G9" s="15"/>
      <c r="H9" s="109"/>
      <c r="I9" s="17"/>
      <c r="J9" s="17"/>
      <c r="K9" s="14"/>
      <c r="L9" s="80"/>
      <c r="M9" s="15" t="s">
        <v>64</v>
      </c>
      <c r="N9" s="88"/>
    </row>
    <row r="10" spans="1:14" ht="31.95" customHeight="1" thickBot="1" x14ac:dyDescent="0.35">
      <c r="A10" s="68">
        <f t="shared" si="0"/>
        <v>9</v>
      </c>
      <c r="B10" s="13" t="s">
        <v>76</v>
      </c>
      <c r="C10" s="13"/>
      <c r="D10" s="14" t="s">
        <v>61</v>
      </c>
      <c r="E10" s="15" t="s">
        <v>62</v>
      </c>
      <c r="F10" s="15" t="s">
        <v>75</v>
      </c>
      <c r="G10" s="15"/>
      <c r="H10" s="109"/>
      <c r="I10" s="17"/>
      <c r="J10" s="17"/>
      <c r="K10" s="14"/>
      <c r="L10" s="80"/>
      <c r="M10" s="15" t="s">
        <v>64</v>
      </c>
      <c r="N10" s="88"/>
    </row>
    <row r="11" spans="1:14" ht="31.95" customHeight="1" thickBot="1" x14ac:dyDescent="0.35">
      <c r="A11" s="68">
        <f t="shared" si="0"/>
        <v>10</v>
      </c>
      <c r="B11" s="13" t="s">
        <v>77</v>
      </c>
      <c r="C11" s="13"/>
      <c r="D11" s="14" t="s">
        <v>61</v>
      </c>
      <c r="E11" s="15" t="s">
        <v>62</v>
      </c>
      <c r="F11" s="15" t="s">
        <v>68</v>
      </c>
      <c r="G11" s="15"/>
      <c r="H11" s="109"/>
      <c r="I11" s="17"/>
      <c r="J11" s="17"/>
      <c r="K11" s="14"/>
      <c r="L11" s="80"/>
      <c r="M11" s="15" t="s">
        <v>64</v>
      </c>
      <c r="N11" s="88"/>
    </row>
    <row r="12" spans="1:14" ht="31.95" customHeight="1" thickBot="1" x14ac:dyDescent="0.35">
      <c r="A12" s="68">
        <f t="shared" si="0"/>
        <v>11</v>
      </c>
      <c r="B12" s="13" t="s">
        <v>78</v>
      </c>
      <c r="C12" s="13"/>
      <c r="D12" s="14" t="s">
        <v>79</v>
      </c>
      <c r="E12" s="15" t="s">
        <v>71</v>
      </c>
      <c r="F12" s="15" t="s">
        <v>63</v>
      </c>
      <c r="G12" s="15"/>
      <c r="H12" s="109"/>
      <c r="I12" s="17"/>
      <c r="J12" s="17"/>
      <c r="K12" s="14"/>
      <c r="L12" s="80"/>
      <c r="M12" s="15" t="s">
        <v>64</v>
      </c>
      <c r="N12" s="88"/>
    </row>
    <row r="13" spans="1:14" ht="31.95" customHeight="1" thickBot="1" x14ac:dyDescent="0.35">
      <c r="A13" s="68">
        <f t="shared" si="0"/>
        <v>12</v>
      </c>
      <c r="B13" s="13" t="s">
        <v>80</v>
      </c>
      <c r="C13" s="13"/>
      <c r="D13" s="14" t="s">
        <v>61</v>
      </c>
      <c r="E13" s="15" t="s">
        <v>62</v>
      </c>
      <c r="F13" s="15" t="s">
        <v>75</v>
      </c>
      <c r="G13" s="15"/>
      <c r="H13" s="109"/>
      <c r="I13" s="17"/>
      <c r="J13" s="17"/>
      <c r="K13" s="14"/>
      <c r="L13" s="80"/>
      <c r="M13" s="15" t="s">
        <v>64</v>
      </c>
      <c r="N13" s="88"/>
    </row>
    <row r="14" spans="1:14" ht="31.95" customHeight="1" thickBot="1" x14ac:dyDescent="0.35">
      <c r="A14" s="68">
        <f t="shared" si="0"/>
        <v>13</v>
      </c>
      <c r="B14" s="13" t="s">
        <v>81</v>
      </c>
      <c r="C14" s="13"/>
      <c r="D14" s="14" t="s">
        <v>61</v>
      </c>
      <c r="E14" s="15" t="s">
        <v>62</v>
      </c>
      <c r="F14" s="15" t="s">
        <v>68</v>
      </c>
      <c r="G14" s="15"/>
      <c r="H14" s="109"/>
      <c r="I14" s="17"/>
      <c r="J14" s="17"/>
      <c r="K14" s="14"/>
      <c r="L14" s="80"/>
      <c r="M14" s="15" t="s">
        <v>64</v>
      </c>
      <c r="N14" s="88"/>
    </row>
    <row r="15" spans="1:14" ht="31.95" customHeight="1" thickBot="1" x14ac:dyDescent="0.35">
      <c r="A15" s="68">
        <f t="shared" si="0"/>
        <v>14</v>
      </c>
      <c r="B15" s="13" t="s">
        <v>82</v>
      </c>
      <c r="C15" s="13"/>
      <c r="D15" s="14" t="s">
        <v>61</v>
      </c>
      <c r="E15" s="15" t="s">
        <v>62</v>
      </c>
      <c r="F15" s="15" t="s">
        <v>75</v>
      </c>
      <c r="G15" s="15"/>
      <c r="H15" s="109"/>
      <c r="I15" s="17"/>
      <c r="J15" s="17"/>
      <c r="K15" s="14"/>
      <c r="L15" s="80"/>
      <c r="M15" s="15" t="s">
        <v>64</v>
      </c>
      <c r="N15" s="88"/>
    </row>
    <row r="16" spans="1:14" ht="31.95" customHeight="1" thickBot="1" x14ac:dyDescent="0.35">
      <c r="A16" s="68">
        <f t="shared" si="0"/>
        <v>15</v>
      </c>
      <c r="B16" s="13" t="s">
        <v>83</v>
      </c>
      <c r="C16" s="13"/>
      <c r="D16" s="14" t="s">
        <v>61</v>
      </c>
      <c r="E16" s="15" t="s">
        <v>62</v>
      </c>
      <c r="F16" s="15" t="s">
        <v>68</v>
      </c>
      <c r="G16" s="15"/>
      <c r="H16" s="109"/>
      <c r="I16" s="17"/>
      <c r="J16" s="17"/>
      <c r="K16" s="14"/>
      <c r="L16" s="80"/>
      <c r="M16" s="15" t="s">
        <v>64</v>
      </c>
      <c r="N16" s="88"/>
    </row>
    <row r="17" spans="1:14" ht="31.95" customHeight="1" thickBot="1" x14ac:dyDescent="0.35">
      <c r="A17" s="68">
        <f t="shared" si="0"/>
        <v>16</v>
      </c>
      <c r="B17" s="13" t="s">
        <v>84</v>
      </c>
      <c r="C17" s="13"/>
      <c r="D17" s="14" t="s">
        <v>61</v>
      </c>
      <c r="E17" s="15" t="s">
        <v>62</v>
      </c>
      <c r="F17" s="15" t="s">
        <v>63</v>
      </c>
      <c r="G17" s="15"/>
      <c r="H17" s="109"/>
      <c r="I17" s="17"/>
      <c r="J17" s="17"/>
      <c r="K17" s="14"/>
      <c r="L17" s="80"/>
      <c r="M17" s="15" t="s">
        <v>64</v>
      </c>
      <c r="N17" s="88"/>
    </row>
    <row r="18" spans="1:14" ht="31.95" customHeight="1" thickBot="1" x14ac:dyDescent="0.35">
      <c r="A18" s="68">
        <f t="shared" si="0"/>
        <v>17</v>
      </c>
      <c r="B18" s="13" t="s">
        <v>85</v>
      </c>
      <c r="C18" s="13"/>
      <c r="D18" s="14" t="s">
        <v>61</v>
      </c>
      <c r="E18" s="15" t="s">
        <v>62</v>
      </c>
      <c r="F18" s="15" t="s">
        <v>68</v>
      </c>
      <c r="G18" s="15"/>
      <c r="H18" s="109"/>
      <c r="I18" s="17"/>
      <c r="J18" s="17"/>
      <c r="K18" s="14"/>
      <c r="L18" s="80"/>
      <c r="M18" s="15" t="s">
        <v>64</v>
      </c>
      <c r="N18" s="88"/>
    </row>
    <row r="19" spans="1:14" ht="31.95" customHeight="1" thickBot="1" x14ac:dyDescent="0.35">
      <c r="A19" s="68">
        <f t="shared" si="0"/>
        <v>18</v>
      </c>
      <c r="B19" s="13" t="s">
        <v>86</v>
      </c>
      <c r="C19" s="13"/>
      <c r="D19" s="14" t="s">
        <v>61</v>
      </c>
      <c r="E19" s="15" t="s">
        <v>62</v>
      </c>
      <c r="F19" s="15" t="s">
        <v>68</v>
      </c>
      <c r="G19" s="15"/>
      <c r="H19" s="109"/>
      <c r="I19" s="17"/>
      <c r="J19" s="17"/>
      <c r="K19" s="14"/>
      <c r="L19" s="80"/>
      <c r="M19" s="15" t="s">
        <v>64</v>
      </c>
      <c r="N19" s="88"/>
    </row>
    <row r="20" spans="1:14" ht="31.95" customHeight="1" thickBot="1" x14ac:dyDescent="0.35">
      <c r="A20" s="68">
        <f t="shared" si="0"/>
        <v>19</v>
      </c>
      <c r="B20" s="13" t="s">
        <v>87</v>
      </c>
      <c r="C20" s="13" t="s">
        <v>88</v>
      </c>
      <c r="D20" s="14" t="s">
        <v>89</v>
      </c>
      <c r="E20" s="15" t="s">
        <v>71</v>
      </c>
      <c r="F20" s="15" t="s">
        <v>68</v>
      </c>
      <c r="G20" s="15"/>
      <c r="H20" s="109"/>
      <c r="I20" s="17"/>
      <c r="J20" s="17"/>
      <c r="K20" s="14"/>
      <c r="L20" s="80" t="s">
        <v>90</v>
      </c>
      <c r="M20" s="15" t="s">
        <v>64</v>
      </c>
      <c r="N20" s="88"/>
    </row>
    <row r="21" spans="1:14" ht="31.95" customHeight="1" thickBot="1" x14ac:dyDescent="0.35">
      <c r="A21" s="68">
        <f t="shared" si="0"/>
        <v>20</v>
      </c>
      <c r="B21" s="13" t="s">
        <v>91</v>
      </c>
      <c r="C21" s="13" t="s">
        <v>92</v>
      </c>
      <c r="D21" s="14" t="s">
        <v>79</v>
      </c>
      <c r="E21" s="15" t="s">
        <v>73</v>
      </c>
      <c r="F21" s="15" t="s">
        <v>68</v>
      </c>
      <c r="G21" s="15"/>
      <c r="H21" s="109"/>
      <c r="I21" s="17"/>
      <c r="J21" s="17"/>
      <c r="K21" s="14"/>
      <c r="L21" s="80"/>
      <c r="M21" s="15" t="s">
        <v>64</v>
      </c>
      <c r="N21" s="88"/>
    </row>
    <row r="22" spans="1:14" ht="31.95" customHeight="1" thickBot="1" x14ac:dyDescent="0.35">
      <c r="A22" s="68">
        <f t="shared" si="0"/>
        <v>21</v>
      </c>
      <c r="B22" s="13" t="s">
        <v>93</v>
      </c>
      <c r="C22" s="13" t="s">
        <v>94</v>
      </c>
      <c r="D22" s="14" t="s">
        <v>79</v>
      </c>
      <c r="E22" s="15" t="s">
        <v>73</v>
      </c>
      <c r="F22" s="15" t="s">
        <v>75</v>
      </c>
      <c r="G22" s="15"/>
      <c r="H22" s="109"/>
      <c r="I22" s="17"/>
      <c r="J22" s="17"/>
      <c r="K22" s="14"/>
      <c r="L22" s="80"/>
      <c r="M22" s="15" t="s">
        <v>64</v>
      </c>
      <c r="N22" s="88"/>
    </row>
    <row r="23" spans="1:14" ht="31.95" customHeight="1" thickBot="1" x14ac:dyDescent="0.35">
      <c r="A23" s="68">
        <f t="shared" si="0"/>
        <v>22</v>
      </c>
      <c r="B23" s="13" t="s">
        <v>95</v>
      </c>
      <c r="C23" s="13" t="s">
        <v>94</v>
      </c>
      <c r="D23" s="14" t="s">
        <v>79</v>
      </c>
      <c r="E23" s="15" t="s">
        <v>73</v>
      </c>
      <c r="F23" s="15" t="s">
        <v>75</v>
      </c>
      <c r="G23" s="15"/>
      <c r="H23" s="109"/>
      <c r="I23" s="17"/>
      <c r="J23" s="17"/>
      <c r="K23" s="14"/>
      <c r="L23" s="80"/>
      <c r="M23" s="15" t="s">
        <v>64</v>
      </c>
      <c r="N23" s="88"/>
    </row>
    <row r="24" spans="1:14" ht="31.95" customHeight="1" thickBot="1" x14ac:dyDescent="0.35">
      <c r="A24" s="68">
        <f t="shared" si="0"/>
        <v>23</v>
      </c>
      <c r="B24" s="13" t="s">
        <v>96</v>
      </c>
      <c r="C24" s="13" t="s">
        <v>97</v>
      </c>
      <c r="D24" s="14" t="s">
        <v>79</v>
      </c>
      <c r="E24" s="15" t="s">
        <v>73</v>
      </c>
      <c r="F24" s="15" t="s">
        <v>63</v>
      </c>
      <c r="G24" s="15"/>
      <c r="H24" s="109"/>
      <c r="I24" s="17"/>
      <c r="J24" s="17"/>
      <c r="K24" s="14"/>
      <c r="L24" s="80"/>
      <c r="M24" s="15" t="s">
        <v>64</v>
      </c>
      <c r="N24" s="88"/>
    </row>
    <row r="25" spans="1:14" ht="31.95" customHeight="1" thickBot="1" x14ac:dyDescent="0.35">
      <c r="A25" s="68">
        <f t="shared" si="0"/>
        <v>24</v>
      </c>
      <c r="B25" s="13" t="s">
        <v>98</v>
      </c>
      <c r="C25" s="13" t="s">
        <v>94</v>
      </c>
      <c r="D25" s="14" t="s">
        <v>79</v>
      </c>
      <c r="E25" s="15" t="s">
        <v>62</v>
      </c>
      <c r="F25" s="15" t="s">
        <v>75</v>
      </c>
      <c r="G25" s="15"/>
      <c r="H25" s="109"/>
      <c r="I25" s="17"/>
      <c r="J25" s="17"/>
      <c r="K25" s="14"/>
      <c r="L25" s="80"/>
      <c r="M25" s="15" t="s">
        <v>64</v>
      </c>
      <c r="N25" s="88"/>
    </row>
    <row r="26" spans="1:14" ht="31.95" customHeight="1" thickBot="1" x14ac:dyDescent="0.35">
      <c r="A26" s="68">
        <f t="shared" si="0"/>
        <v>25</v>
      </c>
      <c r="B26" s="13" t="s">
        <v>99</v>
      </c>
      <c r="C26" s="13" t="s">
        <v>97</v>
      </c>
      <c r="D26" s="14" t="s">
        <v>61</v>
      </c>
      <c r="E26" s="15" t="s">
        <v>71</v>
      </c>
      <c r="F26" s="15" t="s">
        <v>63</v>
      </c>
      <c r="G26" s="15"/>
      <c r="H26" s="109"/>
      <c r="I26" s="17"/>
      <c r="J26" s="17"/>
      <c r="K26" s="14"/>
      <c r="L26" s="80"/>
      <c r="M26" s="15" t="s">
        <v>64</v>
      </c>
      <c r="N26" s="88"/>
    </row>
    <row r="27" spans="1:14" ht="31.95" customHeight="1" thickBot="1" x14ac:dyDescent="0.35">
      <c r="A27" s="68">
        <f t="shared" si="0"/>
        <v>26</v>
      </c>
      <c r="B27" s="13" t="s">
        <v>100</v>
      </c>
      <c r="C27" s="13" t="s">
        <v>97</v>
      </c>
      <c r="D27" s="14" t="s">
        <v>61</v>
      </c>
      <c r="E27" s="15" t="s">
        <v>71</v>
      </c>
      <c r="F27" s="15" t="s">
        <v>63</v>
      </c>
      <c r="G27" s="15"/>
      <c r="H27" s="109"/>
      <c r="I27" s="17"/>
      <c r="J27" s="17"/>
      <c r="K27" s="14"/>
      <c r="L27" s="80"/>
      <c r="M27" s="15" t="s">
        <v>64</v>
      </c>
      <c r="N27" s="88"/>
    </row>
    <row r="28" spans="1:14" ht="31.95" customHeight="1" thickBot="1" x14ac:dyDescent="0.35">
      <c r="A28" s="68">
        <f t="shared" si="0"/>
        <v>27</v>
      </c>
      <c r="B28" s="13" t="s">
        <v>101</v>
      </c>
      <c r="C28" s="13" t="s">
        <v>97</v>
      </c>
      <c r="D28" s="14" t="s">
        <v>61</v>
      </c>
      <c r="E28" s="15" t="s">
        <v>71</v>
      </c>
      <c r="F28" s="15" t="s">
        <v>63</v>
      </c>
      <c r="G28" s="15"/>
      <c r="H28" s="109"/>
      <c r="I28" s="17"/>
      <c r="J28" s="17"/>
      <c r="K28" s="14"/>
      <c r="L28" s="80"/>
      <c r="M28" s="15" t="s">
        <v>64</v>
      </c>
      <c r="N28" s="88"/>
    </row>
    <row r="29" spans="1:14" ht="31.95" customHeight="1" thickBot="1" x14ac:dyDescent="0.35">
      <c r="A29" s="68">
        <f t="shared" si="0"/>
        <v>28</v>
      </c>
      <c r="B29" s="13" t="s">
        <v>102</v>
      </c>
      <c r="C29" s="13" t="s">
        <v>103</v>
      </c>
      <c r="D29" s="14" t="s">
        <v>61</v>
      </c>
      <c r="E29" s="15" t="s">
        <v>73</v>
      </c>
      <c r="F29" s="15" t="s">
        <v>68</v>
      </c>
      <c r="G29" s="15"/>
      <c r="H29" s="109"/>
      <c r="I29" s="17"/>
      <c r="J29" s="17"/>
      <c r="K29" s="14"/>
      <c r="L29" s="80"/>
      <c r="M29" s="15" t="s">
        <v>64</v>
      </c>
      <c r="N29" s="88"/>
    </row>
    <row r="30" spans="1:14" ht="31.95" customHeight="1" thickBot="1" x14ac:dyDescent="0.35">
      <c r="A30" s="68">
        <f t="shared" si="0"/>
        <v>29</v>
      </c>
      <c r="B30" s="13" t="s">
        <v>104</v>
      </c>
      <c r="C30" s="13" t="s">
        <v>105</v>
      </c>
      <c r="D30" s="14" t="s">
        <v>79</v>
      </c>
      <c r="E30" s="15" t="s">
        <v>62</v>
      </c>
      <c r="F30" s="15" t="s">
        <v>68</v>
      </c>
      <c r="G30" s="15"/>
      <c r="H30" s="109"/>
      <c r="I30" s="17"/>
      <c r="J30" s="17"/>
      <c r="K30" s="14"/>
      <c r="L30" s="80"/>
      <c r="M30" s="15" t="s">
        <v>64</v>
      </c>
      <c r="N30" s="88"/>
    </row>
    <row r="31" spans="1:14" ht="31.95" customHeight="1" thickBot="1" x14ac:dyDescent="0.35">
      <c r="A31" s="68">
        <f t="shared" si="0"/>
        <v>30</v>
      </c>
      <c r="B31" s="13" t="s">
        <v>106</v>
      </c>
      <c r="C31" s="13"/>
      <c r="D31" s="14"/>
      <c r="E31" s="15" t="s">
        <v>62</v>
      </c>
      <c r="F31" s="15" t="s">
        <v>68</v>
      </c>
      <c r="G31" s="15"/>
      <c r="H31" s="109"/>
      <c r="I31" s="17"/>
      <c r="J31" s="17"/>
      <c r="K31" s="14"/>
      <c r="L31" s="80"/>
      <c r="M31" s="15" t="s">
        <v>64</v>
      </c>
      <c r="N31" s="88"/>
    </row>
    <row r="32" spans="1:14" ht="31.95" customHeight="1" thickBot="1" x14ac:dyDescent="0.35">
      <c r="A32" s="68">
        <f t="shared" si="0"/>
        <v>31</v>
      </c>
      <c r="B32" s="13" t="s">
        <v>107</v>
      </c>
      <c r="C32" s="13" t="s">
        <v>108</v>
      </c>
      <c r="D32" s="14" t="s">
        <v>61</v>
      </c>
      <c r="E32" s="15" t="s">
        <v>71</v>
      </c>
      <c r="F32" s="15" t="s">
        <v>68</v>
      </c>
      <c r="G32" s="15"/>
      <c r="H32" s="109"/>
      <c r="I32" s="17"/>
      <c r="J32" s="17"/>
      <c r="K32" s="14"/>
      <c r="L32" s="80" t="s">
        <v>477</v>
      </c>
      <c r="M32" s="15" t="s">
        <v>64</v>
      </c>
      <c r="N32" s="88"/>
    </row>
    <row r="33" spans="1:14" ht="31.95" customHeight="1" thickBot="1" x14ac:dyDescent="0.35">
      <c r="A33" s="68">
        <f t="shared" si="0"/>
        <v>32</v>
      </c>
      <c r="B33" s="13" t="s">
        <v>109</v>
      </c>
      <c r="C33" s="13" t="s">
        <v>97</v>
      </c>
      <c r="D33" s="14" t="s">
        <v>89</v>
      </c>
      <c r="E33" s="15" t="s">
        <v>71</v>
      </c>
      <c r="F33" s="15" t="s">
        <v>63</v>
      </c>
      <c r="G33" s="15"/>
      <c r="H33" s="109"/>
      <c r="I33" s="17"/>
      <c r="J33" s="17"/>
      <c r="K33" s="14"/>
      <c r="L33" s="80" t="s">
        <v>110</v>
      </c>
      <c r="M33" s="15" t="s">
        <v>64</v>
      </c>
      <c r="N33" s="88"/>
    </row>
    <row r="34" spans="1:14" ht="31.95" customHeight="1" thickBot="1" x14ac:dyDescent="0.35">
      <c r="A34" s="68">
        <f t="shared" si="0"/>
        <v>33</v>
      </c>
      <c r="B34" s="13" t="s">
        <v>111</v>
      </c>
      <c r="C34" s="13" t="s">
        <v>97</v>
      </c>
      <c r="D34" s="14" t="s">
        <v>89</v>
      </c>
      <c r="E34" s="15" t="s">
        <v>71</v>
      </c>
      <c r="F34" s="15" t="s">
        <v>63</v>
      </c>
      <c r="G34" s="15"/>
      <c r="H34" s="109"/>
      <c r="I34" s="17"/>
      <c r="J34" s="17"/>
      <c r="K34" s="14"/>
      <c r="L34" s="80" t="s">
        <v>112</v>
      </c>
      <c r="M34" s="15" t="s">
        <v>64</v>
      </c>
      <c r="N34" s="88"/>
    </row>
    <row r="35" spans="1:14" ht="31.95" customHeight="1" thickBot="1" x14ac:dyDescent="0.35">
      <c r="A35" s="68">
        <f t="shared" si="0"/>
        <v>34</v>
      </c>
      <c r="B35" s="13" t="s">
        <v>113</v>
      </c>
      <c r="C35" s="13" t="s">
        <v>114</v>
      </c>
      <c r="D35" s="14"/>
      <c r="E35" s="15" t="s">
        <v>115</v>
      </c>
      <c r="F35" s="15" t="s">
        <v>75</v>
      </c>
      <c r="G35" s="15"/>
      <c r="H35" s="109"/>
      <c r="I35" s="17"/>
      <c r="J35" s="17"/>
      <c r="K35" s="14"/>
      <c r="L35" s="80"/>
      <c r="M35" s="15" t="s">
        <v>64</v>
      </c>
      <c r="N35" s="88"/>
    </row>
    <row r="36" spans="1:14" ht="31.95" customHeight="1" thickBot="1" x14ac:dyDescent="0.35">
      <c r="A36" s="68">
        <f t="shared" si="0"/>
        <v>35</v>
      </c>
      <c r="B36" s="13" t="s">
        <v>116</v>
      </c>
      <c r="C36" s="13" t="s">
        <v>117</v>
      </c>
      <c r="D36" s="14" t="s">
        <v>118</v>
      </c>
      <c r="E36" s="15" t="s">
        <v>71</v>
      </c>
      <c r="F36" s="15" t="s">
        <v>63</v>
      </c>
      <c r="G36" s="15"/>
      <c r="H36" s="109">
        <v>40</v>
      </c>
      <c r="I36" s="17">
        <v>46127</v>
      </c>
      <c r="J36" s="17">
        <v>46142</v>
      </c>
      <c r="K36" s="14"/>
      <c r="L36" s="80"/>
      <c r="M36" s="15" t="s">
        <v>119</v>
      </c>
      <c r="N36" s="88"/>
    </row>
    <row r="37" spans="1:14" ht="31.95" customHeight="1" thickBot="1" x14ac:dyDescent="0.35">
      <c r="A37" s="68">
        <f t="shared" si="0"/>
        <v>36</v>
      </c>
      <c r="B37" s="13" t="s">
        <v>120</v>
      </c>
      <c r="C37" s="13"/>
      <c r="D37" s="14"/>
      <c r="E37" s="15" t="s">
        <v>62</v>
      </c>
      <c r="F37" s="15" t="s">
        <v>68</v>
      </c>
      <c r="G37" s="15"/>
      <c r="H37" s="109"/>
      <c r="I37" s="17"/>
      <c r="J37" s="17"/>
      <c r="K37" s="14"/>
      <c r="L37" s="80"/>
      <c r="M37" s="15" t="s">
        <v>64</v>
      </c>
      <c r="N37" s="88"/>
    </row>
    <row r="38" spans="1:14" ht="31.95" customHeight="1" thickBot="1" x14ac:dyDescent="0.35">
      <c r="A38" s="68">
        <f t="shared" si="0"/>
        <v>37</v>
      </c>
      <c r="B38" s="13" t="s">
        <v>121</v>
      </c>
      <c r="C38" s="13" t="s">
        <v>122</v>
      </c>
      <c r="D38" s="14" t="s">
        <v>89</v>
      </c>
      <c r="E38" s="15" t="s">
        <v>73</v>
      </c>
      <c r="F38" s="15" t="s">
        <v>68</v>
      </c>
      <c r="G38" s="15"/>
      <c r="H38" s="109"/>
      <c r="I38" s="17"/>
      <c r="J38" s="17"/>
      <c r="K38" s="14"/>
      <c r="L38" s="80"/>
      <c r="M38" s="15" t="s">
        <v>64</v>
      </c>
      <c r="N38" s="88"/>
    </row>
    <row r="39" spans="1:14" ht="31.95" customHeight="1" thickBot="1" x14ac:dyDescent="0.35">
      <c r="A39" s="68">
        <f t="shared" si="0"/>
        <v>38</v>
      </c>
      <c r="B39" s="13" t="s">
        <v>123</v>
      </c>
      <c r="C39" s="13" t="s">
        <v>124</v>
      </c>
      <c r="D39" s="14"/>
      <c r="E39" s="15" t="s">
        <v>73</v>
      </c>
      <c r="F39" s="15" t="s">
        <v>68</v>
      </c>
      <c r="G39" s="15"/>
      <c r="H39" s="109"/>
      <c r="I39" s="17"/>
      <c r="J39" s="17"/>
      <c r="K39" s="14"/>
      <c r="L39" s="80"/>
      <c r="M39" s="15" t="s">
        <v>64</v>
      </c>
      <c r="N39" s="88"/>
    </row>
    <row r="40" spans="1:14" ht="31.95" customHeight="1" thickBot="1" x14ac:dyDescent="0.35">
      <c r="A40" s="68">
        <f t="shared" si="0"/>
        <v>39</v>
      </c>
      <c r="B40" s="13" t="s">
        <v>125</v>
      </c>
      <c r="C40" s="13" t="s">
        <v>126</v>
      </c>
      <c r="D40" s="14"/>
      <c r="E40" s="15" t="s">
        <v>73</v>
      </c>
      <c r="F40" s="15" t="s">
        <v>68</v>
      </c>
      <c r="G40" s="15"/>
      <c r="H40" s="109"/>
      <c r="I40" s="17"/>
      <c r="J40" s="17"/>
      <c r="K40" s="14"/>
      <c r="L40" s="80"/>
      <c r="M40" s="15" t="s">
        <v>64</v>
      </c>
      <c r="N40" s="88"/>
    </row>
    <row r="41" spans="1:14" ht="31.95" customHeight="1" thickBot="1" x14ac:dyDescent="0.35">
      <c r="A41" s="68">
        <f t="shared" si="0"/>
        <v>40</v>
      </c>
      <c r="B41" s="13" t="s">
        <v>127</v>
      </c>
      <c r="C41" s="13" t="s">
        <v>128</v>
      </c>
      <c r="D41" s="14"/>
      <c r="E41" s="15" t="s">
        <v>73</v>
      </c>
      <c r="F41" s="15" t="s">
        <v>75</v>
      </c>
      <c r="G41" s="15"/>
      <c r="H41" s="109"/>
      <c r="I41" s="17"/>
      <c r="J41" s="17"/>
      <c r="K41" s="14"/>
      <c r="L41" s="80"/>
      <c r="M41" s="15" t="s">
        <v>64</v>
      </c>
      <c r="N41" s="88"/>
    </row>
    <row r="42" spans="1:14" ht="31.95" customHeight="1" thickBot="1" x14ac:dyDescent="0.35">
      <c r="A42" s="68">
        <f t="shared" si="0"/>
        <v>41</v>
      </c>
      <c r="B42" s="13" t="s">
        <v>129</v>
      </c>
      <c r="C42" s="13" t="s">
        <v>130</v>
      </c>
      <c r="D42" s="14"/>
      <c r="E42" s="15" t="s">
        <v>73</v>
      </c>
      <c r="F42" s="15" t="s">
        <v>75</v>
      </c>
      <c r="G42" s="15"/>
      <c r="H42" s="109"/>
      <c r="I42" s="17"/>
      <c r="J42" s="17"/>
      <c r="K42" s="14"/>
      <c r="L42" s="80"/>
      <c r="M42" s="15" t="s">
        <v>64</v>
      </c>
      <c r="N42" s="88"/>
    </row>
    <row r="43" spans="1:14" ht="31.95" customHeight="1" thickBot="1" x14ac:dyDescent="0.35">
      <c r="A43" s="68">
        <f t="shared" si="0"/>
        <v>42</v>
      </c>
      <c r="B43" s="13" t="s">
        <v>131</v>
      </c>
      <c r="C43" s="13" t="s">
        <v>132</v>
      </c>
      <c r="D43" s="14"/>
      <c r="E43" s="15" t="s">
        <v>62</v>
      </c>
      <c r="F43" s="15" t="s">
        <v>68</v>
      </c>
      <c r="G43" s="15"/>
      <c r="H43" s="109"/>
      <c r="I43" s="17"/>
      <c r="J43" s="17"/>
      <c r="K43" s="14"/>
      <c r="L43" s="80"/>
      <c r="M43" s="15" t="s">
        <v>64</v>
      </c>
      <c r="N43" s="88"/>
    </row>
    <row r="44" spans="1:14" ht="31.95" customHeight="1" thickBot="1" x14ac:dyDescent="0.35">
      <c r="A44" s="68">
        <f t="shared" si="0"/>
        <v>43</v>
      </c>
      <c r="B44" s="13" t="s">
        <v>133</v>
      </c>
      <c r="C44" s="13" t="s">
        <v>134</v>
      </c>
      <c r="D44" s="14"/>
      <c r="E44" s="15" t="s">
        <v>62</v>
      </c>
      <c r="F44" s="15" t="s">
        <v>68</v>
      </c>
      <c r="G44" s="15"/>
      <c r="H44" s="109"/>
      <c r="I44" s="17"/>
      <c r="J44" s="17"/>
      <c r="K44" s="14"/>
      <c r="L44" s="80"/>
      <c r="M44" s="15" t="s">
        <v>64</v>
      </c>
      <c r="N44" s="88"/>
    </row>
    <row r="45" spans="1:14" ht="31.95" customHeight="1" thickBot="1" x14ac:dyDescent="0.35">
      <c r="A45" s="68">
        <f t="shared" si="0"/>
        <v>44</v>
      </c>
      <c r="B45" s="13" t="s">
        <v>135</v>
      </c>
      <c r="C45" s="13" t="s">
        <v>136</v>
      </c>
      <c r="D45" s="14"/>
      <c r="E45" s="15" t="s">
        <v>62</v>
      </c>
      <c r="F45" s="15" t="s">
        <v>75</v>
      </c>
      <c r="G45" s="15"/>
      <c r="H45" s="109"/>
      <c r="I45" s="17"/>
      <c r="J45" s="17"/>
      <c r="K45" s="14"/>
      <c r="L45" s="80"/>
      <c r="M45" s="15" t="s">
        <v>64</v>
      </c>
      <c r="N45" s="88"/>
    </row>
    <row r="46" spans="1:14" ht="31.95" customHeight="1" thickBot="1" x14ac:dyDescent="0.35">
      <c r="A46" s="68">
        <f t="shared" si="0"/>
        <v>45</v>
      </c>
      <c r="B46" s="13" t="s">
        <v>137</v>
      </c>
      <c r="C46" s="13" t="s">
        <v>138</v>
      </c>
      <c r="D46" s="14"/>
      <c r="E46" s="15" t="s">
        <v>62</v>
      </c>
      <c r="F46" s="15" t="s">
        <v>68</v>
      </c>
      <c r="G46" s="15"/>
      <c r="H46" s="109"/>
      <c r="I46" s="17"/>
      <c r="J46" s="17"/>
      <c r="K46" s="14"/>
      <c r="L46" s="80"/>
      <c r="M46" s="15" t="s">
        <v>64</v>
      </c>
      <c r="N46" s="88"/>
    </row>
    <row r="47" spans="1:14" ht="31.95" customHeight="1" thickBot="1" x14ac:dyDescent="0.35">
      <c r="A47" s="68">
        <f t="shared" si="0"/>
        <v>46</v>
      </c>
      <c r="B47" s="13" t="s">
        <v>139</v>
      </c>
      <c r="C47" s="13" t="s">
        <v>140</v>
      </c>
      <c r="D47" s="14"/>
      <c r="E47" s="15" t="s">
        <v>62</v>
      </c>
      <c r="F47" s="15" t="s">
        <v>68</v>
      </c>
      <c r="G47" s="15"/>
      <c r="H47" s="109"/>
      <c r="I47" s="17"/>
      <c r="J47" s="17"/>
      <c r="K47" s="14"/>
      <c r="L47" s="80"/>
      <c r="M47" s="15" t="s">
        <v>64</v>
      </c>
      <c r="N47" s="88"/>
    </row>
    <row r="48" spans="1:14" ht="31.95" customHeight="1" thickBot="1" x14ac:dyDescent="0.35">
      <c r="A48" s="68">
        <f t="shared" si="0"/>
        <v>47</v>
      </c>
      <c r="B48" s="13" t="s">
        <v>141</v>
      </c>
      <c r="C48" s="13" t="s">
        <v>126</v>
      </c>
      <c r="D48" s="14"/>
      <c r="E48" s="15" t="s">
        <v>62</v>
      </c>
      <c r="F48" s="15" t="s">
        <v>68</v>
      </c>
      <c r="G48" s="15"/>
      <c r="H48" s="109"/>
      <c r="I48" s="17"/>
      <c r="J48" s="17"/>
      <c r="K48" s="14"/>
      <c r="L48" s="80"/>
      <c r="M48" s="15" t="s">
        <v>64</v>
      </c>
      <c r="N48" s="88"/>
    </row>
    <row r="49" spans="1:14" ht="31.95" customHeight="1" thickBot="1" x14ac:dyDescent="0.35">
      <c r="A49" s="68">
        <f t="shared" si="0"/>
        <v>48</v>
      </c>
      <c r="B49" s="13" t="s">
        <v>142</v>
      </c>
      <c r="C49" s="13" t="s">
        <v>143</v>
      </c>
      <c r="D49" s="14"/>
      <c r="E49" s="15" t="s">
        <v>62</v>
      </c>
      <c r="F49" s="15" t="s">
        <v>68</v>
      </c>
      <c r="G49" s="15"/>
      <c r="H49" s="109"/>
      <c r="I49" s="17"/>
      <c r="J49" s="17"/>
      <c r="K49" s="14"/>
      <c r="L49" s="80"/>
      <c r="M49" s="15" t="s">
        <v>64</v>
      </c>
      <c r="N49" s="88"/>
    </row>
    <row r="50" spans="1:14" ht="31.95" customHeight="1" thickBot="1" x14ac:dyDescent="0.35">
      <c r="A50" s="68">
        <f t="shared" si="0"/>
        <v>49</v>
      </c>
      <c r="B50" s="13" t="s">
        <v>144</v>
      </c>
      <c r="C50" s="13" t="s">
        <v>145</v>
      </c>
      <c r="D50" s="14"/>
      <c r="E50" s="15" t="s">
        <v>62</v>
      </c>
      <c r="F50" s="15" t="s">
        <v>68</v>
      </c>
      <c r="G50" s="15"/>
      <c r="H50" s="109"/>
      <c r="I50" s="17"/>
      <c r="J50" s="17"/>
      <c r="K50" s="14"/>
      <c r="L50" s="80"/>
      <c r="M50" s="15" t="s">
        <v>64</v>
      </c>
      <c r="N50" s="88"/>
    </row>
    <row r="51" spans="1:14" ht="31.95" customHeight="1" thickBot="1" x14ac:dyDescent="0.35">
      <c r="A51" s="68">
        <f t="shared" si="0"/>
        <v>50</v>
      </c>
      <c r="B51" s="13" t="s">
        <v>146</v>
      </c>
      <c r="C51" s="13" t="s">
        <v>147</v>
      </c>
      <c r="D51" s="14"/>
      <c r="E51" s="15" t="s">
        <v>62</v>
      </c>
      <c r="F51" s="15" t="s">
        <v>75</v>
      </c>
      <c r="G51" s="15"/>
      <c r="H51" s="109"/>
      <c r="I51" s="17"/>
      <c r="J51" s="17"/>
      <c r="K51" s="14"/>
      <c r="L51" s="80"/>
      <c r="M51" s="15" t="s">
        <v>64</v>
      </c>
      <c r="N51" s="88"/>
    </row>
    <row r="52" spans="1:14" ht="31.95" customHeight="1" thickBot="1" x14ac:dyDescent="0.35">
      <c r="A52" s="68">
        <f t="shared" si="0"/>
        <v>51</v>
      </c>
      <c r="B52" s="13" t="s">
        <v>148</v>
      </c>
      <c r="C52" s="13"/>
      <c r="D52" s="14" t="s">
        <v>149</v>
      </c>
      <c r="E52" s="15" t="s">
        <v>62</v>
      </c>
      <c r="F52" s="15" t="s">
        <v>75</v>
      </c>
      <c r="G52" s="15"/>
      <c r="H52" s="109"/>
      <c r="I52" s="17"/>
      <c r="J52" s="17"/>
      <c r="K52" s="14"/>
      <c r="L52" s="80"/>
      <c r="M52" s="15" t="s">
        <v>64</v>
      </c>
      <c r="N52" s="88"/>
    </row>
    <row r="53" spans="1:14" ht="31.95" customHeight="1" thickBot="1" x14ac:dyDescent="0.35">
      <c r="A53" s="68">
        <f t="shared" si="0"/>
        <v>52</v>
      </c>
      <c r="B53" s="13" t="s">
        <v>150</v>
      </c>
      <c r="C53" s="13" t="s">
        <v>151</v>
      </c>
      <c r="D53" s="14" t="s">
        <v>149</v>
      </c>
      <c r="E53" s="15" t="s">
        <v>62</v>
      </c>
      <c r="F53" s="15" t="s">
        <v>75</v>
      </c>
      <c r="G53" s="15"/>
      <c r="H53" s="109"/>
      <c r="I53" s="17"/>
      <c r="J53" s="17"/>
      <c r="K53" s="14"/>
      <c r="L53" s="80"/>
      <c r="M53" s="15" t="s">
        <v>64</v>
      </c>
      <c r="N53" s="88"/>
    </row>
    <row r="54" spans="1:14" ht="31.95" customHeight="1" thickBot="1" x14ac:dyDescent="0.35">
      <c r="A54" s="68">
        <f t="shared" si="0"/>
        <v>53</v>
      </c>
      <c r="B54" s="13" t="s">
        <v>152</v>
      </c>
      <c r="C54" s="13" t="s">
        <v>153</v>
      </c>
      <c r="D54" s="14"/>
      <c r="E54" s="15" t="s">
        <v>62</v>
      </c>
      <c r="F54" s="15" t="s">
        <v>75</v>
      </c>
      <c r="G54" s="15"/>
      <c r="H54" s="109"/>
      <c r="I54" s="17"/>
      <c r="J54" s="17"/>
      <c r="K54" s="14"/>
      <c r="L54" s="80"/>
      <c r="M54" s="15" t="s">
        <v>64</v>
      </c>
      <c r="N54" s="88"/>
    </row>
    <row r="55" spans="1:14" ht="31.95" customHeight="1" thickBot="1" x14ac:dyDescent="0.35">
      <c r="A55" s="68">
        <f t="shared" si="0"/>
        <v>54</v>
      </c>
      <c r="B55" s="13" t="s">
        <v>154</v>
      </c>
      <c r="C55" s="13" t="s">
        <v>155</v>
      </c>
      <c r="D55" s="14"/>
      <c r="E55" s="15" t="s">
        <v>62</v>
      </c>
      <c r="F55" s="15" t="s">
        <v>75</v>
      </c>
      <c r="G55" s="15"/>
      <c r="H55" s="109"/>
      <c r="I55" s="17"/>
      <c r="J55" s="17"/>
      <c r="K55" s="14"/>
      <c r="L55" s="80"/>
      <c r="M55" s="15" t="s">
        <v>64</v>
      </c>
      <c r="N55" s="88"/>
    </row>
    <row r="56" spans="1:14" ht="31.95" customHeight="1" thickBot="1" x14ac:dyDescent="0.35">
      <c r="A56" s="68">
        <f t="shared" si="0"/>
        <v>55</v>
      </c>
      <c r="B56" s="13" t="s">
        <v>156</v>
      </c>
      <c r="C56" s="13" t="s">
        <v>157</v>
      </c>
      <c r="D56" s="14"/>
      <c r="E56" s="15" t="s">
        <v>62</v>
      </c>
      <c r="F56" s="15" t="s">
        <v>68</v>
      </c>
      <c r="G56" s="15"/>
      <c r="H56" s="109"/>
      <c r="I56" s="17"/>
      <c r="J56" s="17"/>
      <c r="K56" s="14"/>
      <c r="L56" s="80"/>
      <c r="M56" s="15" t="s">
        <v>64</v>
      </c>
      <c r="N56" s="88"/>
    </row>
    <row r="57" spans="1:14" ht="31.95" customHeight="1" thickBot="1" x14ac:dyDescent="0.35">
      <c r="A57" s="68">
        <f t="shared" si="0"/>
        <v>56</v>
      </c>
      <c r="B57" s="13" t="s">
        <v>158</v>
      </c>
      <c r="C57" s="13" t="s">
        <v>159</v>
      </c>
      <c r="D57" s="14"/>
      <c r="E57" s="15" t="s">
        <v>62</v>
      </c>
      <c r="F57" s="15" t="s">
        <v>75</v>
      </c>
      <c r="G57" s="15"/>
      <c r="H57" s="109"/>
      <c r="I57" s="17"/>
      <c r="J57" s="17"/>
      <c r="K57" s="14"/>
      <c r="L57" s="80"/>
      <c r="M57" s="15" t="s">
        <v>64</v>
      </c>
      <c r="N57" s="88"/>
    </row>
    <row r="58" spans="1:14" ht="31.95" customHeight="1" thickBot="1" x14ac:dyDescent="0.35">
      <c r="A58" s="68">
        <f t="shared" si="0"/>
        <v>57</v>
      </c>
      <c r="B58" s="13" t="s">
        <v>160</v>
      </c>
      <c r="C58" s="13" t="s">
        <v>161</v>
      </c>
      <c r="D58" s="14"/>
      <c r="E58" s="15" t="s">
        <v>62</v>
      </c>
      <c r="F58" s="15" t="s">
        <v>68</v>
      </c>
      <c r="G58" s="15"/>
      <c r="H58" s="109"/>
      <c r="I58" s="17"/>
      <c r="J58" s="17"/>
      <c r="K58" s="14"/>
      <c r="L58" s="80"/>
      <c r="M58" s="15" t="s">
        <v>64</v>
      </c>
      <c r="N58" s="88"/>
    </row>
    <row r="59" spans="1:14" ht="31.95" customHeight="1" thickBot="1" x14ac:dyDescent="0.35">
      <c r="A59" s="68">
        <f t="shared" si="0"/>
        <v>58</v>
      </c>
      <c r="B59" s="13" t="s">
        <v>162</v>
      </c>
      <c r="C59" s="13" t="s">
        <v>97</v>
      </c>
      <c r="D59" s="14"/>
      <c r="E59" s="15" t="s">
        <v>62</v>
      </c>
      <c r="F59" s="15" t="s">
        <v>63</v>
      </c>
      <c r="G59" s="15"/>
      <c r="H59" s="109"/>
      <c r="I59" s="17"/>
      <c r="J59" s="17"/>
      <c r="K59" s="14"/>
      <c r="L59" s="80"/>
      <c r="M59" s="15" t="s">
        <v>64</v>
      </c>
      <c r="N59" s="88"/>
    </row>
    <row r="60" spans="1:14" ht="31.95" customHeight="1" thickBot="1" x14ac:dyDescent="0.35">
      <c r="A60" s="68">
        <f t="shared" si="0"/>
        <v>59</v>
      </c>
      <c r="B60" s="13" t="s">
        <v>163</v>
      </c>
      <c r="C60" s="13" t="s">
        <v>97</v>
      </c>
      <c r="D60" s="14"/>
      <c r="E60" s="15" t="s">
        <v>62</v>
      </c>
      <c r="F60" s="15" t="s">
        <v>63</v>
      </c>
      <c r="G60" s="15"/>
      <c r="H60" s="109"/>
      <c r="I60" s="17"/>
      <c r="J60" s="17"/>
      <c r="K60" s="14"/>
      <c r="L60" s="80"/>
      <c r="M60" s="15" t="s">
        <v>64</v>
      </c>
      <c r="N60" s="88"/>
    </row>
    <row r="61" spans="1:14" ht="31.95" customHeight="1" thickBot="1" x14ac:dyDescent="0.35">
      <c r="A61" s="68">
        <f t="shared" si="0"/>
        <v>60</v>
      </c>
      <c r="B61" s="13" t="s">
        <v>164</v>
      </c>
      <c r="C61" s="13" t="s">
        <v>165</v>
      </c>
      <c r="D61" s="14"/>
      <c r="E61" s="15" t="s">
        <v>62</v>
      </c>
      <c r="F61" s="15" t="s">
        <v>75</v>
      </c>
      <c r="G61" s="15"/>
      <c r="H61" s="109"/>
      <c r="I61" s="17"/>
      <c r="J61" s="17"/>
      <c r="K61" s="14"/>
      <c r="L61" s="80"/>
      <c r="M61" s="15" t="s">
        <v>64</v>
      </c>
      <c r="N61" s="88"/>
    </row>
    <row r="62" spans="1:14" ht="31.95" customHeight="1" thickBot="1" x14ac:dyDescent="0.35">
      <c r="A62" s="68">
        <f t="shared" si="0"/>
        <v>61</v>
      </c>
      <c r="B62" s="13" t="s">
        <v>166</v>
      </c>
      <c r="C62" s="13" t="s">
        <v>167</v>
      </c>
      <c r="D62" s="14"/>
      <c r="E62" s="15" t="s">
        <v>62</v>
      </c>
      <c r="F62" s="15" t="s">
        <v>68</v>
      </c>
      <c r="G62" s="15"/>
      <c r="H62" s="109"/>
      <c r="I62" s="17"/>
      <c r="J62" s="17"/>
      <c r="K62" s="14"/>
      <c r="L62" s="80"/>
      <c r="M62" s="15" t="s">
        <v>64</v>
      </c>
      <c r="N62" s="88"/>
    </row>
    <row r="63" spans="1:14" ht="31.95" customHeight="1" thickBot="1" x14ac:dyDescent="0.35">
      <c r="A63" s="68">
        <f t="shared" si="0"/>
        <v>62</v>
      </c>
      <c r="B63" s="13" t="s">
        <v>168</v>
      </c>
      <c r="C63" s="13" t="s">
        <v>97</v>
      </c>
      <c r="D63" s="14"/>
      <c r="E63" s="15" t="s">
        <v>62</v>
      </c>
      <c r="F63" s="15" t="s">
        <v>63</v>
      </c>
      <c r="G63" s="15"/>
      <c r="H63" s="109"/>
      <c r="I63" s="17"/>
      <c r="J63" s="17"/>
      <c r="K63" s="14"/>
      <c r="L63" s="80"/>
      <c r="M63" s="15" t="s">
        <v>64</v>
      </c>
      <c r="N63" s="88"/>
    </row>
    <row r="64" spans="1:14" ht="31.95" customHeight="1" thickBot="1" x14ac:dyDescent="0.35">
      <c r="A64" s="68">
        <f t="shared" si="0"/>
        <v>63</v>
      </c>
      <c r="B64" s="13" t="s">
        <v>169</v>
      </c>
      <c r="C64" s="13" t="s">
        <v>97</v>
      </c>
      <c r="D64" s="14"/>
      <c r="E64" s="15" t="s">
        <v>62</v>
      </c>
      <c r="F64" s="15" t="s">
        <v>63</v>
      </c>
      <c r="G64" s="15"/>
      <c r="H64" s="109"/>
      <c r="I64" s="17"/>
      <c r="J64" s="17"/>
      <c r="K64" s="14"/>
      <c r="L64" s="80"/>
      <c r="M64" s="15" t="s">
        <v>64</v>
      </c>
      <c r="N64" s="88"/>
    </row>
    <row r="65" spans="1:14" ht="31.95" customHeight="1" thickBot="1" x14ac:dyDescent="0.35">
      <c r="A65" s="68">
        <f t="shared" si="0"/>
        <v>64</v>
      </c>
      <c r="B65" s="13" t="s">
        <v>170</v>
      </c>
      <c r="C65" s="13" t="s">
        <v>97</v>
      </c>
      <c r="D65" s="14"/>
      <c r="E65" s="15" t="s">
        <v>62</v>
      </c>
      <c r="F65" s="15" t="s">
        <v>63</v>
      </c>
      <c r="G65" s="15"/>
      <c r="H65" s="109"/>
      <c r="I65" s="17"/>
      <c r="J65" s="17"/>
      <c r="K65" s="14"/>
      <c r="L65" s="80"/>
      <c r="M65" s="15" t="s">
        <v>64</v>
      </c>
      <c r="N65" s="88"/>
    </row>
    <row r="66" spans="1:14" ht="31.95" customHeight="1" thickBot="1" x14ac:dyDescent="0.35">
      <c r="A66" s="68">
        <f t="shared" ref="A66:A129" si="1">IF($B66="","",ROW()-1)</f>
        <v>65</v>
      </c>
      <c r="B66" s="13" t="s">
        <v>171</v>
      </c>
      <c r="C66" s="13" t="s">
        <v>172</v>
      </c>
      <c r="D66" s="14"/>
      <c r="E66" s="15" t="s">
        <v>62</v>
      </c>
      <c r="F66" s="15" t="s">
        <v>68</v>
      </c>
      <c r="G66" s="15"/>
      <c r="H66" s="109"/>
      <c r="I66" s="17"/>
      <c r="J66" s="17"/>
      <c r="K66" s="14"/>
      <c r="L66" s="80"/>
      <c r="M66" s="15" t="s">
        <v>64</v>
      </c>
      <c r="N66" s="88"/>
    </row>
    <row r="67" spans="1:14" ht="31.95" customHeight="1" thickBot="1" x14ac:dyDescent="0.35">
      <c r="A67" s="68">
        <f t="shared" si="1"/>
        <v>66</v>
      </c>
      <c r="B67" s="13" t="s">
        <v>173</v>
      </c>
      <c r="C67" s="13"/>
      <c r="D67" s="14"/>
      <c r="E67" s="15" t="s">
        <v>62</v>
      </c>
      <c r="F67" s="15" t="s">
        <v>75</v>
      </c>
      <c r="G67" s="15"/>
      <c r="H67" s="109"/>
      <c r="I67" s="17"/>
      <c r="J67" s="17"/>
      <c r="K67" s="14"/>
      <c r="L67" s="80"/>
      <c r="M67" s="15" t="s">
        <v>64</v>
      </c>
      <c r="N67" s="88"/>
    </row>
    <row r="68" spans="1:14" ht="31.95" customHeight="1" thickBot="1" x14ac:dyDescent="0.35">
      <c r="A68" s="68">
        <f t="shared" si="1"/>
        <v>67</v>
      </c>
      <c r="B68" s="13" t="s">
        <v>174</v>
      </c>
      <c r="C68" s="13" t="s">
        <v>175</v>
      </c>
      <c r="D68" s="14"/>
      <c r="E68" s="15" t="s">
        <v>62</v>
      </c>
      <c r="F68" s="15" t="s">
        <v>63</v>
      </c>
      <c r="G68" s="15"/>
      <c r="H68" s="109"/>
      <c r="I68" s="17"/>
      <c r="J68" s="17"/>
      <c r="K68" s="14"/>
      <c r="L68" s="80"/>
      <c r="M68" s="15" t="s">
        <v>64</v>
      </c>
      <c r="N68" s="88"/>
    </row>
    <row r="69" spans="1:14" ht="31.95" customHeight="1" thickBot="1" x14ac:dyDescent="0.35">
      <c r="A69" s="68">
        <f t="shared" si="1"/>
        <v>68</v>
      </c>
      <c r="B69" s="13" t="s">
        <v>176</v>
      </c>
      <c r="C69" s="13" t="s">
        <v>177</v>
      </c>
      <c r="D69" s="14"/>
      <c r="E69" s="15" t="s">
        <v>62</v>
      </c>
      <c r="F69" s="15" t="s">
        <v>68</v>
      </c>
      <c r="G69" s="15"/>
      <c r="H69" s="109"/>
      <c r="I69" s="17"/>
      <c r="J69" s="17"/>
      <c r="K69" s="14"/>
      <c r="L69" s="80"/>
      <c r="M69" s="15" t="s">
        <v>64</v>
      </c>
      <c r="N69" s="88"/>
    </row>
    <row r="70" spans="1:14" ht="31.95" customHeight="1" thickBot="1" x14ac:dyDescent="0.35">
      <c r="A70" s="68">
        <f t="shared" si="1"/>
        <v>69</v>
      </c>
      <c r="B70" s="13" t="s">
        <v>178</v>
      </c>
      <c r="C70" s="13"/>
      <c r="D70" s="14"/>
      <c r="E70" s="15" t="s">
        <v>62</v>
      </c>
      <c r="F70" s="15" t="s">
        <v>75</v>
      </c>
      <c r="G70" s="15"/>
      <c r="H70" s="109"/>
      <c r="I70" s="17"/>
      <c r="J70" s="17"/>
      <c r="K70" s="14"/>
      <c r="L70" s="80"/>
      <c r="M70" s="15" t="s">
        <v>64</v>
      </c>
      <c r="N70" s="88"/>
    </row>
    <row r="71" spans="1:14" ht="31.95" customHeight="1" thickBot="1" x14ac:dyDescent="0.35">
      <c r="A71" s="68">
        <f t="shared" si="1"/>
        <v>70</v>
      </c>
      <c r="B71" s="13" t="s">
        <v>179</v>
      </c>
      <c r="C71" s="13" t="s">
        <v>94</v>
      </c>
      <c r="D71" s="14"/>
      <c r="E71" s="15" t="s">
        <v>62</v>
      </c>
      <c r="F71" s="15" t="s">
        <v>75</v>
      </c>
      <c r="G71" s="15"/>
      <c r="H71" s="109"/>
      <c r="I71" s="17"/>
      <c r="J71" s="17"/>
      <c r="K71" s="14"/>
      <c r="L71" s="80"/>
      <c r="M71" s="15" t="s">
        <v>64</v>
      </c>
      <c r="N71" s="88"/>
    </row>
    <row r="72" spans="1:14" ht="31.95" customHeight="1" thickBot="1" x14ac:dyDescent="0.35">
      <c r="A72" s="68">
        <f t="shared" si="1"/>
        <v>71</v>
      </c>
      <c r="B72" s="13" t="s">
        <v>180</v>
      </c>
      <c r="C72" s="13" t="s">
        <v>97</v>
      </c>
      <c r="D72" s="14"/>
      <c r="E72" s="15" t="s">
        <v>62</v>
      </c>
      <c r="F72" s="15" t="s">
        <v>63</v>
      </c>
      <c r="G72" s="15"/>
      <c r="H72" s="109"/>
      <c r="I72" s="17"/>
      <c r="J72" s="17"/>
      <c r="K72" s="14"/>
      <c r="L72" s="80"/>
      <c r="M72" s="15" t="s">
        <v>64</v>
      </c>
      <c r="N72" s="88"/>
    </row>
    <row r="73" spans="1:14" ht="31.95" customHeight="1" thickBot="1" x14ac:dyDescent="0.35">
      <c r="A73" s="68">
        <f t="shared" si="1"/>
        <v>72</v>
      </c>
      <c r="B73" s="13" t="s">
        <v>181</v>
      </c>
      <c r="C73" s="13" t="s">
        <v>97</v>
      </c>
      <c r="D73" s="14"/>
      <c r="E73" s="15" t="s">
        <v>62</v>
      </c>
      <c r="F73" s="15" t="s">
        <v>63</v>
      </c>
      <c r="G73" s="15"/>
      <c r="H73" s="109"/>
      <c r="I73" s="17"/>
      <c r="J73" s="17"/>
      <c r="K73" s="14"/>
      <c r="L73" s="80"/>
      <c r="M73" s="15" t="s">
        <v>64</v>
      </c>
      <c r="N73" s="88"/>
    </row>
    <row r="74" spans="1:14" ht="31.95" customHeight="1" thickBot="1" x14ac:dyDescent="0.35">
      <c r="A74" s="68">
        <f t="shared" si="1"/>
        <v>73</v>
      </c>
      <c r="B74" s="13" t="s">
        <v>182</v>
      </c>
      <c r="C74" s="13" t="s">
        <v>94</v>
      </c>
      <c r="D74" s="14"/>
      <c r="E74" s="15" t="s">
        <v>62</v>
      </c>
      <c r="F74" s="15" t="s">
        <v>75</v>
      </c>
      <c r="G74" s="15"/>
      <c r="H74" s="109"/>
      <c r="I74" s="17"/>
      <c r="J74" s="17"/>
      <c r="K74" s="14"/>
      <c r="L74" s="80"/>
      <c r="M74" s="15" t="s">
        <v>64</v>
      </c>
      <c r="N74" s="88"/>
    </row>
    <row r="75" spans="1:14" ht="31.95" customHeight="1" thickBot="1" x14ac:dyDescent="0.35">
      <c r="A75" s="68">
        <f t="shared" si="1"/>
        <v>74</v>
      </c>
      <c r="B75" s="13" t="s">
        <v>183</v>
      </c>
      <c r="C75" s="13"/>
      <c r="D75" s="14"/>
      <c r="E75" s="15" t="s">
        <v>62</v>
      </c>
      <c r="F75" s="15" t="s">
        <v>75</v>
      </c>
      <c r="G75" s="15"/>
      <c r="H75" s="109"/>
      <c r="I75" s="17"/>
      <c r="J75" s="17"/>
      <c r="K75" s="14"/>
      <c r="L75" s="80"/>
      <c r="M75" s="15" t="s">
        <v>64</v>
      </c>
      <c r="N75" s="88"/>
    </row>
    <row r="76" spans="1:14" ht="31.95" customHeight="1" thickBot="1" x14ac:dyDescent="0.35">
      <c r="A76" s="68">
        <f t="shared" si="1"/>
        <v>75</v>
      </c>
      <c r="B76" s="13" t="s">
        <v>184</v>
      </c>
      <c r="C76" s="13" t="s">
        <v>185</v>
      </c>
      <c r="D76" s="14"/>
      <c r="E76" s="15" t="s">
        <v>62</v>
      </c>
      <c r="F76" s="15" t="s">
        <v>68</v>
      </c>
      <c r="G76" s="15"/>
      <c r="H76" s="109"/>
      <c r="I76" s="17"/>
      <c r="J76" s="17"/>
      <c r="K76" s="14"/>
      <c r="L76" s="80"/>
      <c r="M76" s="15" t="s">
        <v>64</v>
      </c>
      <c r="N76" s="88"/>
    </row>
    <row r="77" spans="1:14" ht="31.95" customHeight="1" thickBot="1" x14ac:dyDescent="0.35">
      <c r="A77" s="68">
        <f t="shared" si="1"/>
        <v>76</v>
      </c>
      <c r="B77" s="13" t="s">
        <v>186</v>
      </c>
      <c r="C77" s="13" t="s">
        <v>187</v>
      </c>
      <c r="D77" s="14"/>
      <c r="E77" s="15" t="s">
        <v>62</v>
      </c>
      <c r="F77" s="15" t="s">
        <v>68</v>
      </c>
      <c r="G77" s="15"/>
      <c r="H77" s="109"/>
      <c r="I77" s="17"/>
      <c r="J77" s="17"/>
      <c r="K77" s="14"/>
      <c r="L77" s="80"/>
      <c r="M77" s="15" t="s">
        <v>64</v>
      </c>
      <c r="N77" s="88"/>
    </row>
    <row r="78" spans="1:14" ht="31.95" customHeight="1" thickBot="1" x14ac:dyDescent="0.35">
      <c r="A78" s="68">
        <f t="shared" si="1"/>
        <v>77</v>
      </c>
      <c r="B78" s="13" t="s">
        <v>188</v>
      </c>
      <c r="C78" s="13" t="s">
        <v>189</v>
      </c>
      <c r="D78" s="14"/>
      <c r="E78" s="15" t="s">
        <v>62</v>
      </c>
      <c r="F78" s="15" t="s">
        <v>75</v>
      </c>
      <c r="G78" s="15"/>
      <c r="H78" s="109"/>
      <c r="I78" s="17"/>
      <c r="J78" s="17"/>
      <c r="K78" s="14"/>
      <c r="L78" s="80"/>
      <c r="M78" s="15" t="s">
        <v>64</v>
      </c>
      <c r="N78" s="88"/>
    </row>
    <row r="79" spans="1:14" ht="31.95" customHeight="1" thickBot="1" x14ac:dyDescent="0.35">
      <c r="A79" s="68">
        <f t="shared" si="1"/>
        <v>78</v>
      </c>
      <c r="B79" s="13" t="s">
        <v>190</v>
      </c>
      <c r="C79" s="13" t="s">
        <v>94</v>
      </c>
      <c r="D79" s="14"/>
      <c r="E79" s="15" t="s">
        <v>62</v>
      </c>
      <c r="F79" s="15" t="s">
        <v>75</v>
      </c>
      <c r="G79" s="15"/>
      <c r="H79" s="109"/>
      <c r="I79" s="17"/>
      <c r="J79" s="17"/>
      <c r="K79" s="14"/>
      <c r="L79" s="80"/>
      <c r="M79" s="15" t="s">
        <v>64</v>
      </c>
      <c r="N79" s="88"/>
    </row>
    <row r="80" spans="1:14" ht="31.95" customHeight="1" thickBot="1" x14ac:dyDescent="0.35">
      <c r="A80" s="68">
        <f t="shared" si="1"/>
        <v>79</v>
      </c>
      <c r="B80" s="13" t="s">
        <v>191</v>
      </c>
      <c r="C80" s="13" t="s">
        <v>192</v>
      </c>
      <c r="D80" s="14"/>
      <c r="E80" s="15" t="s">
        <v>62</v>
      </c>
      <c r="F80" s="15" t="s">
        <v>68</v>
      </c>
      <c r="G80" s="15"/>
      <c r="H80" s="109"/>
      <c r="I80" s="17"/>
      <c r="J80" s="17"/>
      <c r="K80" s="14"/>
      <c r="L80" s="80"/>
      <c r="M80" s="15" t="s">
        <v>64</v>
      </c>
      <c r="N80" s="88"/>
    </row>
    <row r="81" spans="1:14" ht="31.95" customHeight="1" thickBot="1" x14ac:dyDescent="0.35">
      <c r="A81" s="68">
        <f t="shared" si="1"/>
        <v>80</v>
      </c>
      <c r="B81" s="13" t="s">
        <v>193</v>
      </c>
      <c r="C81" s="13" t="s">
        <v>194</v>
      </c>
      <c r="D81" s="14"/>
      <c r="E81" s="15" t="s">
        <v>62</v>
      </c>
      <c r="F81" s="15" t="s">
        <v>63</v>
      </c>
      <c r="G81" s="15"/>
      <c r="H81" s="109"/>
      <c r="I81" s="17"/>
      <c r="J81" s="17"/>
      <c r="K81" s="14"/>
      <c r="L81" s="80"/>
      <c r="M81" s="15" t="s">
        <v>64</v>
      </c>
      <c r="N81" s="88"/>
    </row>
    <row r="82" spans="1:14" ht="31.95" customHeight="1" thickBot="1" x14ac:dyDescent="0.35">
      <c r="A82" s="68">
        <f t="shared" si="1"/>
        <v>81</v>
      </c>
      <c r="B82" s="13" t="s">
        <v>195</v>
      </c>
      <c r="C82" s="13" t="s">
        <v>97</v>
      </c>
      <c r="D82" s="14"/>
      <c r="E82" s="15" t="s">
        <v>62</v>
      </c>
      <c r="F82" s="15" t="s">
        <v>63</v>
      </c>
      <c r="G82" s="15"/>
      <c r="H82" s="109"/>
      <c r="I82" s="17"/>
      <c r="J82" s="17"/>
      <c r="K82" s="14"/>
      <c r="L82" s="80"/>
      <c r="M82" s="15" t="s">
        <v>64</v>
      </c>
      <c r="N82" s="88"/>
    </row>
    <row r="83" spans="1:14" ht="31.95" customHeight="1" thickBot="1" x14ac:dyDescent="0.35">
      <c r="A83" s="68">
        <f t="shared" si="1"/>
        <v>82</v>
      </c>
      <c r="B83" s="13" t="s">
        <v>196</v>
      </c>
      <c r="C83" s="13" t="s">
        <v>94</v>
      </c>
      <c r="D83" s="14"/>
      <c r="E83" s="15" t="s">
        <v>62</v>
      </c>
      <c r="F83" s="15" t="s">
        <v>75</v>
      </c>
      <c r="G83" s="15"/>
      <c r="H83" s="109"/>
      <c r="I83" s="17"/>
      <c r="J83" s="17"/>
      <c r="K83" s="14"/>
      <c r="L83" s="80"/>
      <c r="M83" s="15" t="s">
        <v>64</v>
      </c>
      <c r="N83" s="88"/>
    </row>
    <row r="84" spans="1:14" ht="31.95" customHeight="1" thickBot="1" x14ac:dyDescent="0.35">
      <c r="A84" s="68">
        <f t="shared" si="1"/>
        <v>83</v>
      </c>
      <c r="B84" s="13" t="s">
        <v>197</v>
      </c>
      <c r="C84" s="13" t="s">
        <v>94</v>
      </c>
      <c r="D84" s="14"/>
      <c r="E84" s="15" t="s">
        <v>62</v>
      </c>
      <c r="F84" s="15" t="s">
        <v>75</v>
      </c>
      <c r="G84" s="15"/>
      <c r="H84" s="109"/>
      <c r="I84" s="17"/>
      <c r="J84" s="17"/>
      <c r="K84" s="14"/>
      <c r="L84" s="80"/>
      <c r="M84" s="15" t="s">
        <v>64</v>
      </c>
      <c r="N84" s="88"/>
    </row>
    <row r="85" spans="1:14" ht="31.95" customHeight="1" thickBot="1" x14ac:dyDescent="0.35">
      <c r="A85" s="68">
        <f t="shared" si="1"/>
        <v>84</v>
      </c>
      <c r="B85" s="13" t="s">
        <v>198</v>
      </c>
      <c r="C85" s="13" t="s">
        <v>94</v>
      </c>
      <c r="D85" s="14"/>
      <c r="E85" s="15" t="s">
        <v>62</v>
      </c>
      <c r="F85" s="15" t="s">
        <v>75</v>
      </c>
      <c r="G85" s="15"/>
      <c r="H85" s="109"/>
      <c r="I85" s="17"/>
      <c r="J85" s="17"/>
      <c r="K85" s="14"/>
      <c r="L85" s="80"/>
      <c r="M85" s="15" t="s">
        <v>64</v>
      </c>
      <c r="N85" s="88"/>
    </row>
    <row r="86" spans="1:14" ht="31.95" customHeight="1" thickBot="1" x14ac:dyDescent="0.35">
      <c r="A86" s="68">
        <f t="shared" si="1"/>
        <v>85</v>
      </c>
      <c r="B86" s="13" t="s">
        <v>199</v>
      </c>
      <c r="C86" s="13" t="s">
        <v>94</v>
      </c>
      <c r="D86" s="14"/>
      <c r="E86" s="15" t="s">
        <v>62</v>
      </c>
      <c r="F86" s="15" t="s">
        <v>75</v>
      </c>
      <c r="G86" s="15"/>
      <c r="H86" s="109"/>
      <c r="I86" s="17"/>
      <c r="J86" s="17"/>
      <c r="K86" s="14"/>
      <c r="L86" s="80"/>
      <c r="M86" s="15" t="s">
        <v>64</v>
      </c>
      <c r="N86" s="88"/>
    </row>
    <row r="87" spans="1:14" ht="31.95" customHeight="1" thickBot="1" x14ac:dyDescent="0.35">
      <c r="A87" s="68">
        <f t="shared" si="1"/>
        <v>86</v>
      </c>
      <c r="B87" s="13" t="s">
        <v>200</v>
      </c>
      <c r="C87" s="13"/>
      <c r="D87" s="14"/>
      <c r="E87" s="15" t="s">
        <v>62</v>
      </c>
      <c r="F87" s="15" t="s">
        <v>63</v>
      </c>
      <c r="G87" s="15"/>
      <c r="H87" s="109"/>
      <c r="I87" s="17"/>
      <c r="J87" s="17"/>
      <c r="K87" s="14"/>
      <c r="L87" s="80"/>
      <c r="M87" s="15" t="s">
        <v>64</v>
      </c>
      <c r="N87" s="88"/>
    </row>
    <row r="88" spans="1:14" ht="31.95" customHeight="1" thickBot="1" x14ac:dyDescent="0.35">
      <c r="A88" s="68">
        <f t="shared" si="1"/>
        <v>87</v>
      </c>
      <c r="B88" s="13" t="s">
        <v>201</v>
      </c>
      <c r="C88" s="13" t="s">
        <v>94</v>
      </c>
      <c r="D88" s="14"/>
      <c r="E88" s="15" t="s">
        <v>62</v>
      </c>
      <c r="F88" s="15" t="s">
        <v>75</v>
      </c>
      <c r="G88" s="15"/>
      <c r="H88" s="109"/>
      <c r="I88" s="17"/>
      <c r="J88" s="17"/>
      <c r="K88" s="14"/>
      <c r="L88" s="80"/>
      <c r="M88" s="15" t="s">
        <v>64</v>
      </c>
      <c r="N88" s="88"/>
    </row>
    <row r="89" spans="1:14" ht="31.95" customHeight="1" thickBot="1" x14ac:dyDescent="0.35">
      <c r="A89" s="68">
        <f t="shared" si="1"/>
        <v>88</v>
      </c>
      <c r="B89" s="13" t="s">
        <v>202</v>
      </c>
      <c r="C89" s="13" t="s">
        <v>172</v>
      </c>
      <c r="D89" s="14" t="s">
        <v>149</v>
      </c>
      <c r="E89" s="15" t="s">
        <v>71</v>
      </c>
      <c r="F89" s="15" t="s">
        <v>68</v>
      </c>
      <c r="G89" s="15"/>
      <c r="H89" s="109"/>
      <c r="I89" s="17"/>
      <c r="J89" s="17"/>
      <c r="K89" s="14"/>
      <c r="L89" s="80"/>
      <c r="M89" s="15" t="s">
        <v>64</v>
      </c>
      <c r="N89" s="88"/>
    </row>
    <row r="90" spans="1:14" ht="31.95" customHeight="1" thickBot="1" x14ac:dyDescent="0.35">
      <c r="A90" s="68">
        <f t="shared" si="1"/>
        <v>89</v>
      </c>
      <c r="B90" s="13" t="s">
        <v>203</v>
      </c>
      <c r="C90" s="13" t="s">
        <v>153</v>
      </c>
      <c r="D90" s="14" t="s">
        <v>149</v>
      </c>
      <c r="E90" s="15" t="s">
        <v>71</v>
      </c>
      <c r="F90" s="15" t="s">
        <v>75</v>
      </c>
      <c r="G90" s="15"/>
      <c r="H90" s="109"/>
      <c r="I90" s="17"/>
      <c r="J90" s="17"/>
      <c r="K90" s="14"/>
      <c r="L90" s="80"/>
      <c r="M90" s="15" t="s">
        <v>64</v>
      </c>
      <c r="N90" s="88"/>
    </row>
    <row r="91" spans="1:14" ht="31.95" customHeight="1" thickBot="1" x14ac:dyDescent="0.35">
      <c r="A91" s="68">
        <f t="shared" si="1"/>
        <v>90</v>
      </c>
      <c r="B91" s="13" t="s">
        <v>204</v>
      </c>
      <c r="C91" s="13" t="s">
        <v>205</v>
      </c>
      <c r="D91" s="14" t="s">
        <v>149</v>
      </c>
      <c r="E91" s="15" t="s">
        <v>71</v>
      </c>
      <c r="F91" s="15" t="s">
        <v>68</v>
      </c>
      <c r="G91" s="15"/>
      <c r="H91" s="109"/>
      <c r="I91" s="17"/>
      <c r="J91" s="17"/>
      <c r="K91" s="14"/>
      <c r="L91" s="80"/>
      <c r="M91" s="15" t="s">
        <v>64</v>
      </c>
      <c r="N91" s="88"/>
    </row>
    <row r="92" spans="1:14" ht="31.95" customHeight="1" thickBot="1" x14ac:dyDescent="0.35">
      <c r="A92" s="68">
        <f t="shared" si="1"/>
        <v>91</v>
      </c>
      <c r="B92" s="13" t="s">
        <v>206</v>
      </c>
      <c r="C92" s="13" t="s">
        <v>207</v>
      </c>
      <c r="D92" s="14" t="s">
        <v>89</v>
      </c>
      <c r="E92" s="15" t="s">
        <v>71</v>
      </c>
      <c r="F92" s="15" t="s">
        <v>75</v>
      </c>
      <c r="G92" s="15"/>
      <c r="H92" s="109"/>
      <c r="I92" s="17"/>
      <c r="J92" s="17"/>
      <c r="K92" s="14"/>
      <c r="L92" s="80"/>
      <c r="M92" s="15" t="s">
        <v>64</v>
      </c>
      <c r="N92" s="88"/>
    </row>
    <row r="93" spans="1:14" ht="31.95" customHeight="1" thickBot="1" x14ac:dyDescent="0.35">
      <c r="A93" s="68">
        <f t="shared" si="1"/>
        <v>92</v>
      </c>
      <c r="B93" s="13" t="s">
        <v>208</v>
      </c>
      <c r="C93" s="13" t="s">
        <v>205</v>
      </c>
      <c r="D93" s="14"/>
      <c r="E93" s="15" t="s">
        <v>71</v>
      </c>
      <c r="F93" s="15" t="s">
        <v>63</v>
      </c>
      <c r="G93" s="15"/>
      <c r="H93" s="109"/>
      <c r="I93" s="17"/>
      <c r="J93" s="17"/>
      <c r="K93" s="14"/>
      <c r="L93" s="80"/>
      <c r="M93" s="15" t="s">
        <v>64</v>
      </c>
      <c r="N93" s="88"/>
    </row>
    <row r="94" spans="1:14" ht="31.95" customHeight="1" thickBot="1" x14ac:dyDescent="0.35">
      <c r="A94" s="68">
        <f t="shared" si="1"/>
        <v>93</v>
      </c>
      <c r="B94" s="13" t="s">
        <v>209</v>
      </c>
      <c r="C94" s="13" t="s">
        <v>210</v>
      </c>
      <c r="D94" s="14" t="s">
        <v>89</v>
      </c>
      <c r="E94" s="15" t="s">
        <v>71</v>
      </c>
      <c r="F94" s="15" t="s">
        <v>75</v>
      </c>
      <c r="G94" s="15"/>
      <c r="H94" s="109"/>
      <c r="I94" s="17"/>
      <c r="J94" s="17"/>
      <c r="K94" s="14"/>
      <c r="L94" s="80"/>
      <c r="M94" s="15" t="s">
        <v>64</v>
      </c>
      <c r="N94" s="88"/>
    </row>
    <row r="95" spans="1:14" ht="31.95" customHeight="1" thickBot="1" x14ac:dyDescent="0.35">
      <c r="A95" s="68">
        <f t="shared" si="1"/>
        <v>94</v>
      </c>
      <c r="B95" s="13" t="s">
        <v>211</v>
      </c>
      <c r="C95" s="13" t="s">
        <v>212</v>
      </c>
      <c r="D95" s="14"/>
      <c r="E95" s="15" t="s">
        <v>71</v>
      </c>
      <c r="F95" s="15" t="s">
        <v>68</v>
      </c>
      <c r="G95" s="15"/>
      <c r="H95" s="109"/>
      <c r="I95" s="17"/>
      <c r="J95" s="17"/>
      <c r="K95" s="14"/>
      <c r="L95" s="80"/>
      <c r="M95" s="15" t="s">
        <v>64</v>
      </c>
      <c r="N95" s="88"/>
    </row>
    <row r="96" spans="1:14" ht="31.95" customHeight="1" thickBot="1" x14ac:dyDescent="0.35">
      <c r="A96" s="68">
        <f t="shared" si="1"/>
        <v>95</v>
      </c>
      <c r="B96" s="13" t="s">
        <v>213</v>
      </c>
      <c r="C96" s="13" t="s">
        <v>138</v>
      </c>
      <c r="D96" s="14"/>
      <c r="E96" s="15" t="s">
        <v>71</v>
      </c>
      <c r="F96" s="15" t="s">
        <v>68</v>
      </c>
      <c r="G96" s="15"/>
      <c r="H96" s="109"/>
      <c r="I96" s="17"/>
      <c r="J96" s="17"/>
      <c r="K96" s="14"/>
      <c r="L96" s="80"/>
      <c r="M96" s="15" t="s">
        <v>64</v>
      </c>
      <c r="N96" s="88"/>
    </row>
    <row r="97" spans="1:14" ht="31.95" customHeight="1" thickBot="1" x14ac:dyDescent="0.35">
      <c r="A97" s="68">
        <f t="shared" si="1"/>
        <v>96</v>
      </c>
      <c r="B97" s="13" t="s">
        <v>214</v>
      </c>
      <c r="C97" s="13" t="s">
        <v>215</v>
      </c>
      <c r="D97" s="14"/>
      <c r="E97" s="15" t="s">
        <v>71</v>
      </c>
      <c r="F97" s="15" t="s">
        <v>68</v>
      </c>
      <c r="G97" s="15"/>
      <c r="H97" s="109"/>
      <c r="I97" s="17"/>
      <c r="J97" s="17"/>
      <c r="K97" s="14"/>
      <c r="L97" s="80"/>
      <c r="M97" s="15" t="s">
        <v>64</v>
      </c>
      <c r="N97" s="88"/>
    </row>
    <row r="98" spans="1:14" ht="31.95" customHeight="1" thickBot="1" x14ac:dyDescent="0.35">
      <c r="A98" s="68">
        <f t="shared" si="1"/>
        <v>97</v>
      </c>
      <c r="B98" s="13" t="s">
        <v>216</v>
      </c>
      <c r="C98" s="13" t="s">
        <v>217</v>
      </c>
      <c r="D98" s="14"/>
      <c r="E98" s="15" t="s">
        <v>71</v>
      </c>
      <c r="F98" s="15" t="s">
        <v>68</v>
      </c>
      <c r="G98" s="15"/>
      <c r="H98" s="109"/>
      <c r="I98" s="17"/>
      <c r="J98" s="17"/>
      <c r="K98" s="14"/>
      <c r="L98" s="80"/>
      <c r="M98" s="15" t="s">
        <v>64</v>
      </c>
      <c r="N98" s="88"/>
    </row>
    <row r="99" spans="1:14" ht="31.95" customHeight="1" thickBot="1" x14ac:dyDescent="0.35">
      <c r="A99" s="68">
        <f t="shared" si="1"/>
        <v>98</v>
      </c>
      <c r="B99" s="13" t="s">
        <v>218</v>
      </c>
      <c r="C99" s="13"/>
      <c r="D99" s="14"/>
      <c r="E99" s="15" t="s">
        <v>62</v>
      </c>
      <c r="F99" s="15" t="s">
        <v>68</v>
      </c>
      <c r="G99" s="15"/>
      <c r="H99" s="109"/>
      <c r="I99" s="17"/>
      <c r="J99" s="17"/>
      <c r="K99" s="14"/>
      <c r="L99" s="80"/>
      <c r="M99" s="15" t="s">
        <v>64</v>
      </c>
      <c r="N99" s="88"/>
    </row>
    <row r="100" spans="1:14" ht="31.95" customHeight="1" thickBot="1" x14ac:dyDescent="0.35">
      <c r="A100" s="68">
        <f t="shared" si="1"/>
        <v>99</v>
      </c>
      <c r="B100" s="13" t="s">
        <v>219</v>
      </c>
      <c r="C100" s="13" t="s">
        <v>220</v>
      </c>
      <c r="D100" s="14"/>
      <c r="E100" s="15" t="s">
        <v>62</v>
      </c>
      <c r="F100" s="15" t="s">
        <v>68</v>
      </c>
      <c r="G100" s="15"/>
      <c r="H100" s="109"/>
      <c r="I100" s="17"/>
      <c r="J100" s="17"/>
      <c r="K100" s="14"/>
      <c r="L100" s="80"/>
      <c r="M100" s="15" t="s">
        <v>64</v>
      </c>
      <c r="N100" s="88"/>
    </row>
    <row r="101" spans="1:14" ht="31.95" customHeight="1" thickBot="1" x14ac:dyDescent="0.35">
      <c r="A101" s="68">
        <f t="shared" si="1"/>
        <v>100</v>
      </c>
      <c r="B101" s="13" t="s">
        <v>221</v>
      </c>
      <c r="C101" s="13" t="s">
        <v>222</v>
      </c>
      <c r="D101" s="14"/>
      <c r="E101" s="15" t="s">
        <v>62</v>
      </c>
      <c r="F101" s="15" t="s">
        <v>68</v>
      </c>
      <c r="G101" s="15"/>
      <c r="H101" s="109"/>
      <c r="I101" s="17"/>
      <c r="J101" s="17"/>
      <c r="K101" s="14"/>
      <c r="L101" s="80"/>
      <c r="M101" s="15" t="s">
        <v>64</v>
      </c>
      <c r="N101" s="88"/>
    </row>
    <row r="102" spans="1:14" ht="31.95" customHeight="1" thickBot="1" x14ac:dyDescent="0.35">
      <c r="A102" s="68">
        <f t="shared" si="1"/>
        <v>101</v>
      </c>
      <c r="B102" s="13" t="s">
        <v>223</v>
      </c>
      <c r="C102" s="13" t="s">
        <v>224</v>
      </c>
      <c r="D102" s="14"/>
      <c r="E102" s="15" t="s">
        <v>62</v>
      </c>
      <c r="F102" s="15" t="s">
        <v>75</v>
      </c>
      <c r="G102" s="15"/>
      <c r="H102" s="109"/>
      <c r="I102" s="17"/>
      <c r="J102" s="17"/>
      <c r="K102" s="14"/>
      <c r="L102" s="80"/>
      <c r="M102" s="15" t="s">
        <v>64</v>
      </c>
      <c r="N102" s="88"/>
    </row>
    <row r="103" spans="1:14" ht="31.95" customHeight="1" thickBot="1" x14ac:dyDescent="0.35">
      <c r="A103" s="68">
        <f t="shared" si="1"/>
        <v>102</v>
      </c>
      <c r="B103" s="13" t="s">
        <v>225</v>
      </c>
      <c r="C103" s="13" t="s">
        <v>226</v>
      </c>
      <c r="D103" s="14"/>
      <c r="E103" s="15" t="s">
        <v>71</v>
      </c>
      <c r="F103" s="15" t="s">
        <v>63</v>
      </c>
      <c r="G103" s="15"/>
      <c r="H103" s="109"/>
      <c r="I103" s="17"/>
      <c r="J103" s="17"/>
      <c r="K103" s="14"/>
      <c r="L103" s="80"/>
      <c r="M103" s="15" t="s">
        <v>64</v>
      </c>
      <c r="N103" s="88"/>
    </row>
    <row r="104" spans="1:14" ht="31.95" customHeight="1" thickBot="1" x14ac:dyDescent="0.35">
      <c r="A104" s="68">
        <f t="shared" si="1"/>
        <v>103</v>
      </c>
      <c r="B104" s="13" t="s">
        <v>227</v>
      </c>
      <c r="C104" s="13" t="s">
        <v>228</v>
      </c>
      <c r="D104" s="14"/>
      <c r="E104" s="15" t="s">
        <v>62</v>
      </c>
      <c r="F104" s="15" t="s">
        <v>75</v>
      </c>
      <c r="G104" s="15"/>
      <c r="H104" s="109"/>
      <c r="I104" s="17"/>
      <c r="J104" s="17"/>
      <c r="K104" s="14"/>
      <c r="L104" s="80"/>
      <c r="M104" s="15" t="s">
        <v>64</v>
      </c>
      <c r="N104" s="88"/>
    </row>
    <row r="105" spans="1:14" ht="31.95" customHeight="1" thickBot="1" x14ac:dyDescent="0.35">
      <c r="A105" s="68">
        <f t="shared" si="1"/>
        <v>104</v>
      </c>
      <c r="B105" s="13" t="s">
        <v>229</v>
      </c>
      <c r="C105" s="13"/>
      <c r="D105" s="14"/>
      <c r="E105" s="15" t="s">
        <v>62</v>
      </c>
      <c r="F105" s="15" t="s">
        <v>75</v>
      </c>
      <c r="G105" s="15"/>
      <c r="H105" s="109"/>
      <c r="I105" s="17"/>
      <c r="J105" s="17"/>
      <c r="K105" s="14"/>
      <c r="L105" s="80"/>
      <c r="M105" s="15" t="s">
        <v>64</v>
      </c>
      <c r="N105" s="88"/>
    </row>
    <row r="106" spans="1:14" ht="31.95" customHeight="1" thickBot="1" x14ac:dyDescent="0.35">
      <c r="A106" s="68">
        <f t="shared" si="1"/>
        <v>105</v>
      </c>
      <c r="B106" s="13" t="s">
        <v>230</v>
      </c>
      <c r="C106" s="13" t="s">
        <v>231</v>
      </c>
      <c r="D106" s="14"/>
      <c r="E106" s="15" t="s">
        <v>62</v>
      </c>
      <c r="F106" s="15" t="s">
        <v>68</v>
      </c>
      <c r="G106" s="15"/>
      <c r="H106" s="109"/>
      <c r="I106" s="17"/>
      <c r="J106" s="17"/>
      <c r="K106" s="14"/>
      <c r="L106" s="80"/>
      <c r="M106" s="15" t="s">
        <v>64</v>
      </c>
      <c r="N106" s="88"/>
    </row>
    <row r="107" spans="1:14" ht="31.95" customHeight="1" thickBot="1" x14ac:dyDescent="0.35">
      <c r="A107" s="68">
        <f t="shared" si="1"/>
        <v>106</v>
      </c>
      <c r="B107" s="13" t="s">
        <v>232</v>
      </c>
      <c r="C107" s="13" t="s">
        <v>233</v>
      </c>
      <c r="D107" s="14"/>
      <c r="E107" s="15" t="s">
        <v>62</v>
      </c>
      <c r="F107" s="15" t="s">
        <v>68</v>
      </c>
      <c r="G107" s="15"/>
      <c r="H107" s="109"/>
      <c r="I107" s="17"/>
      <c r="J107" s="17"/>
      <c r="K107" s="14"/>
      <c r="L107" s="80"/>
      <c r="M107" s="15" t="s">
        <v>64</v>
      </c>
      <c r="N107" s="88"/>
    </row>
    <row r="108" spans="1:14" ht="31.95" customHeight="1" thickBot="1" x14ac:dyDescent="0.35">
      <c r="A108" s="68">
        <f t="shared" si="1"/>
        <v>107</v>
      </c>
      <c r="B108" s="13" t="s">
        <v>234</v>
      </c>
      <c r="C108" s="13" t="s">
        <v>235</v>
      </c>
      <c r="D108" s="14" t="s">
        <v>61</v>
      </c>
      <c r="E108" s="15" t="s">
        <v>71</v>
      </c>
      <c r="F108" s="15" t="s">
        <v>68</v>
      </c>
      <c r="G108" s="15"/>
      <c r="H108" s="109"/>
      <c r="I108" s="17"/>
      <c r="J108" s="17"/>
      <c r="K108" s="14"/>
      <c r="L108" s="80" t="s">
        <v>493</v>
      </c>
      <c r="M108" s="15" t="s">
        <v>64</v>
      </c>
      <c r="N108" s="88"/>
    </row>
    <row r="109" spans="1:14" ht="31.95" customHeight="1" thickBot="1" x14ac:dyDescent="0.35">
      <c r="A109" s="68">
        <f t="shared" si="1"/>
        <v>108</v>
      </c>
      <c r="B109" s="13" t="s">
        <v>236</v>
      </c>
      <c r="C109" s="13" t="s">
        <v>237</v>
      </c>
      <c r="D109" s="14"/>
      <c r="E109" s="15" t="s">
        <v>62</v>
      </c>
      <c r="F109" s="15" t="s">
        <v>68</v>
      </c>
      <c r="G109" s="15"/>
      <c r="H109" s="109"/>
      <c r="I109" s="17"/>
      <c r="J109" s="17"/>
      <c r="K109" s="14"/>
      <c r="L109" s="80"/>
      <c r="M109" s="15" t="s">
        <v>64</v>
      </c>
      <c r="N109" s="88"/>
    </row>
    <row r="110" spans="1:14" ht="31.95" customHeight="1" thickBot="1" x14ac:dyDescent="0.35">
      <c r="A110" s="68">
        <f t="shared" si="1"/>
        <v>109</v>
      </c>
      <c r="B110" s="13" t="s">
        <v>238</v>
      </c>
      <c r="C110" s="13" t="s">
        <v>239</v>
      </c>
      <c r="D110" s="14" t="s">
        <v>79</v>
      </c>
      <c r="E110" s="15" t="s">
        <v>71</v>
      </c>
      <c r="F110" s="15" t="s">
        <v>68</v>
      </c>
      <c r="G110" s="15"/>
      <c r="H110" s="109">
        <v>10</v>
      </c>
      <c r="I110" s="17"/>
      <c r="J110" s="17"/>
      <c r="K110" s="14"/>
      <c r="L110" s="80"/>
      <c r="M110" s="15" t="s">
        <v>240</v>
      </c>
      <c r="N110" s="88"/>
    </row>
    <row r="111" spans="1:14" ht="31.95" customHeight="1" thickBot="1" x14ac:dyDescent="0.35">
      <c r="A111" s="68">
        <f t="shared" si="1"/>
        <v>110</v>
      </c>
      <c r="B111" s="13" t="s">
        <v>241</v>
      </c>
      <c r="C111" s="13" t="s">
        <v>239</v>
      </c>
      <c r="D111" s="14" t="s">
        <v>79</v>
      </c>
      <c r="E111" s="15" t="s">
        <v>71</v>
      </c>
      <c r="F111" s="15" t="s">
        <v>63</v>
      </c>
      <c r="G111" s="15"/>
      <c r="H111" s="109">
        <v>20</v>
      </c>
      <c r="I111" s="17"/>
      <c r="J111" s="17"/>
      <c r="K111" s="14"/>
      <c r="L111" s="80"/>
      <c r="M111" s="15"/>
      <c r="N111" s="88"/>
    </row>
    <row r="112" spans="1:14" ht="31.95" customHeight="1" thickBot="1" x14ac:dyDescent="0.35">
      <c r="A112" s="68">
        <f t="shared" si="1"/>
        <v>111</v>
      </c>
      <c r="B112" s="13" t="s">
        <v>242</v>
      </c>
      <c r="C112" s="13" t="s">
        <v>239</v>
      </c>
      <c r="D112" s="14" t="s">
        <v>89</v>
      </c>
      <c r="E112" s="15" t="s">
        <v>73</v>
      </c>
      <c r="F112" s="15" t="s">
        <v>68</v>
      </c>
      <c r="G112" s="15"/>
      <c r="H112" s="109">
        <v>20</v>
      </c>
      <c r="I112" s="17">
        <v>46168</v>
      </c>
      <c r="J112" s="17">
        <v>46176</v>
      </c>
      <c r="K112" s="14"/>
      <c r="L112" s="80"/>
      <c r="M112" s="15" t="s">
        <v>240</v>
      </c>
      <c r="N112" s="88"/>
    </row>
    <row r="113" spans="1:14" ht="31.95" customHeight="1" thickBot="1" x14ac:dyDescent="0.35">
      <c r="A113" s="68">
        <f t="shared" si="1"/>
        <v>112</v>
      </c>
      <c r="B113" s="13" t="s">
        <v>243</v>
      </c>
      <c r="C113" s="13" t="s">
        <v>239</v>
      </c>
      <c r="D113" s="14"/>
      <c r="E113" s="15" t="s">
        <v>62</v>
      </c>
      <c r="F113" s="15" t="s">
        <v>63</v>
      </c>
      <c r="G113" s="15"/>
      <c r="H113" s="109"/>
      <c r="I113" s="17"/>
      <c r="J113" s="17"/>
      <c r="K113" s="14"/>
      <c r="L113" s="80"/>
      <c r="M113" s="15" t="s">
        <v>240</v>
      </c>
      <c r="N113" s="88"/>
    </row>
    <row r="114" spans="1:14" ht="31.95" customHeight="1" thickBot="1" x14ac:dyDescent="0.35">
      <c r="A114" s="68">
        <f t="shared" si="1"/>
        <v>113</v>
      </c>
      <c r="B114" s="13" t="s">
        <v>244</v>
      </c>
      <c r="C114" s="13" t="s">
        <v>239</v>
      </c>
      <c r="D114" s="14" t="s">
        <v>79</v>
      </c>
      <c r="E114" s="15" t="s">
        <v>71</v>
      </c>
      <c r="F114" s="15" t="s">
        <v>63</v>
      </c>
      <c r="G114" s="15"/>
      <c r="H114" s="109">
        <v>10</v>
      </c>
      <c r="I114" s="17">
        <v>45993</v>
      </c>
      <c r="J114" s="17">
        <v>46022</v>
      </c>
      <c r="K114" s="14"/>
      <c r="L114" s="80"/>
      <c r="M114" s="15" t="s">
        <v>240</v>
      </c>
      <c r="N114" s="88"/>
    </row>
    <row r="115" spans="1:14" ht="31.95" customHeight="1" thickBot="1" x14ac:dyDescent="0.35">
      <c r="A115" s="68">
        <f t="shared" si="1"/>
        <v>114</v>
      </c>
      <c r="B115" s="13" t="s">
        <v>245</v>
      </c>
      <c r="C115" s="13" t="s">
        <v>239</v>
      </c>
      <c r="D115" s="14" t="s">
        <v>61</v>
      </c>
      <c r="E115" s="15" t="s">
        <v>71</v>
      </c>
      <c r="F115" s="15" t="s">
        <v>68</v>
      </c>
      <c r="G115" s="15"/>
      <c r="H115" s="109">
        <v>30</v>
      </c>
      <c r="I115" s="17">
        <v>46113</v>
      </c>
      <c r="J115" s="17">
        <v>46142</v>
      </c>
      <c r="K115" s="14"/>
      <c r="L115" s="80"/>
      <c r="M115" s="15" t="s">
        <v>240</v>
      </c>
      <c r="N115" s="88"/>
    </row>
    <row r="116" spans="1:14" ht="31.95" customHeight="1" thickBot="1" x14ac:dyDescent="0.35">
      <c r="A116" s="68">
        <f t="shared" si="1"/>
        <v>115</v>
      </c>
      <c r="B116" s="13" t="s">
        <v>246</v>
      </c>
      <c r="C116" s="13" t="s">
        <v>239</v>
      </c>
      <c r="D116" s="14" t="s">
        <v>79</v>
      </c>
      <c r="E116" s="15" t="s">
        <v>71</v>
      </c>
      <c r="F116" s="15" t="s">
        <v>68</v>
      </c>
      <c r="G116" s="15"/>
      <c r="H116" s="109">
        <v>10</v>
      </c>
      <c r="I116" s="17">
        <v>46023</v>
      </c>
      <c r="J116" s="17">
        <v>46052</v>
      </c>
      <c r="K116" s="14"/>
      <c r="L116" s="80"/>
      <c r="M116" s="15" t="s">
        <v>240</v>
      </c>
      <c r="N116" s="88"/>
    </row>
    <row r="117" spans="1:14" ht="31.95" customHeight="1" thickBot="1" x14ac:dyDescent="0.35">
      <c r="A117" s="68">
        <f t="shared" si="1"/>
        <v>116</v>
      </c>
      <c r="B117" s="13" t="s">
        <v>247</v>
      </c>
      <c r="C117" s="13" t="s">
        <v>239</v>
      </c>
      <c r="D117" s="14" t="s">
        <v>79</v>
      </c>
      <c r="E117" s="15" t="s">
        <v>71</v>
      </c>
      <c r="F117" s="15" t="s">
        <v>63</v>
      </c>
      <c r="G117" s="15"/>
      <c r="H117" s="109">
        <v>10</v>
      </c>
      <c r="I117" s="17">
        <v>46143</v>
      </c>
      <c r="J117" s="17">
        <v>46164</v>
      </c>
      <c r="K117" s="14"/>
      <c r="L117" s="80"/>
      <c r="M117" s="15" t="s">
        <v>240</v>
      </c>
      <c r="N117" s="88"/>
    </row>
    <row r="118" spans="1:14" ht="31.95" customHeight="1" thickBot="1" x14ac:dyDescent="0.35">
      <c r="A118" s="68">
        <f t="shared" si="1"/>
        <v>117</v>
      </c>
      <c r="B118" s="13" t="s">
        <v>248</v>
      </c>
      <c r="C118" s="13" t="s">
        <v>239</v>
      </c>
      <c r="D118" s="14" t="s">
        <v>79</v>
      </c>
      <c r="E118" s="15" t="s">
        <v>71</v>
      </c>
      <c r="F118" s="15" t="s">
        <v>68</v>
      </c>
      <c r="G118" s="15"/>
      <c r="H118" s="109">
        <v>10</v>
      </c>
      <c r="I118" s="17">
        <v>46023</v>
      </c>
      <c r="J118" s="17">
        <v>46052</v>
      </c>
      <c r="K118" s="14"/>
      <c r="L118" s="80"/>
      <c r="M118" s="15" t="s">
        <v>240</v>
      </c>
      <c r="N118" s="88"/>
    </row>
    <row r="119" spans="1:14" ht="31.95" customHeight="1" thickBot="1" x14ac:dyDescent="0.35">
      <c r="A119" s="68">
        <f t="shared" si="1"/>
        <v>118</v>
      </c>
      <c r="B119" s="13" t="s">
        <v>249</v>
      </c>
      <c r="C119" s="13" t="s">
        <v>239</v>
      </c>
      <c r="D119" s="14" t="s">
        <v>79</v>
      </c>
      <c r="E119" s="15" t="s">
        <v>71</v>
      </c>
      <c r="F119" s="15" t="s">
        <v>68</v>
      </c>
      <c r="G119" s="15"/>
      <c r="H119" s="109">
        <v>20</v>
      </c>
      <c r="I119" s="17">
        <v>46113</v>
      </c>
      <c r="J119" s="17">
        <v>46142</v>
      </c>
      <c r="K119" s="14"/>
      <c r="L119" s="80"/>
      <c r="M119" s="15" t="s">
        <v>240</v>
      </c>
      <c r="N119" s="88"/>
    </row>
    <row r="120" spans="1:14" ht="31.95" customHeight="1" thickBot="1" x14ac:dyDescent="0.35">
      <c r="A120" s="68">
        <f t="shared" si="1"/>
        <v>119</v>
      </c>
      <c r="B120" s="13" t="s">
        <v>250</v>
      </c>
      <c r="C120" s="13" t="s">
        <v>239</v>
      </c>
      <c r="D120" s="14" t="s">
        <v>79</v>
      </c>
      <c r="E120" s="15" t="s">
        <v>62</v>
      </c>
      <c r="F120" s="15" t="s">
        <v>68</v>
      </c>
      <c r="G120" s="15"/>
      <c r="H120" s="109"/>
      <c r="I120" s="17"/>
      <c r="J120" s="17"/>
      <c r="K120" s="14"/>
      <c r="L120" s="80"/>
      <c r="M120" s="15" t="s">
        <v>240</v>
      </c>
      <c r="N120" s="88"/>
    </row>
    <row r="121" spans="1:14" ht="31.95" customHeight="1" thickBot="1" x14ac:dyDescent="0.35">
      <c r="A121" s="68">
        <f t="shared" si="1"/>
        <v>120</v>
      </c>
      <c r="B121" s="13" t="s">
        <v>251</v>
      </c>
      <c r="C121" s="13" t="s">
        <v>239</v>
      </c>
      <c r="D121" s="14" t="s">
        <v>89</v>
      </c>
      <c r="E121" s="15" t="s">
        <v>71</v>
      </c>
      <c r="F121" s="15" t="s">
        <v>63</v>
      </c>
      <c r="G121" s="15"/>
      <c r="H121" s="109">
        <v>40</v>
      </c>
      <c r="I121" s="17">
        <v>46171</v>
      </c>
      <c r="J121" s="17">
        <v>46171</v>
      </c>
      <c r="K121" s="14"/>
      <c r="L121" s="80"/>
      <c r="M121" s="15" t="s">
        <v>240</v>
      </c>
      <c r="N121" s="88"/>
    </row>
    <row r="122" spans="1:14" ht="31.95" customHeight="1" thickBot="1" x14ac:dyDescent="0.35">
      <c r="A122" s="68">
        <f t="shared" si="1"/>
        <v>121</v>
      </c>
      <c r="B122" s="13" t="s">
        <v>252</v>
      </c>
      <c r="C122" s="13" t="s">
        <v>239</v>
      </c>
      <c r="D122" s="14"/>
      <c r="E122" s="15" t="s">
        <v>62</v>
      </c>
      <c r="F122" s="15" t="s">
        <v>75</v>
      </c>
      <c r="G122" s="15"/>
      <c r="H122" s="109"/>
      <c r="I122" s="17"/>
      <c r="J122" s="17"/>
      <c r="K122" s="14"/>
      <c r="L122" s="80"/>
      <c r="M122" s="15" t="s">
        <v>240</v>
      </c>
      <c r="N122" s="88"/>
    </row>
    <row r="123" spans="1:14" ht="31.95" customHeight="1" thickBot="1" x14ac:dyDescent="0.35">
      <c r="A123" s="68">
        <f t="shared" si="1"/>
        <v>122</v>
      </c>
      <c r="B123" s="13" t="s">
        <v>253</v>
      </c>
      <c r="C123" s="13" t="s">
        <v>239</v>
      </c>
      <c r="D123" s="14"/>
      <c r="E123" s="15" t="s">
        <v>62</v>
      </c>
      <c r="F123" s="15" t="s">
        <v>68</v>
      </c>
      <c r="G123" s="15"/>
      <c r="H123" s="109"/>
      <c r="I123" s="17"/>
      <c r="J123" s="17"/>
      <c r="K123" s="14"/>
      <c r="L123" s="80"/>
      <c r="M123" s="15" t="s">
        <v>240</v>
      </c>
      <c r="N123" s="88"/>
    </row>
    <row r="124" spans="1:14" ht="31.95" customHeight="1" thickBot="1" x14ac:dyDescent="0.35">
      <c r="A124" s="68">
        <f t="shared" si="1"/>
        <v>123</v>
      </c>
      <c r="B124" s="13" t="s">
        <v>254</v>
      </c>
      <c r="C124" s="13" t="s">
        <v>239</v>
      </c>
      <c r="D124" s="14" t="s">
        <v>79</v>
      </c>
      <c r="E124" s="15" t="s">
        <v>71</v>
      </c>
      <c r="F124" s="15" t="s">
        <v>68</v>
      </c>
      <c r="G124" s="15"/>
      <c r="H124" s="109">
        <v>20</v>
      </c>
      <c r="I124" s="17">
        <v>46056</v>
      </c>
      <c r="J124" s="17">
        <v>46073</v>
      </c>
      <c r="K124" s="14"/>
      <c r="L124" s="80"/>
      <c r="M124" s="15" t="s">
        <v>240</v>
      </c>
      <c r="N124" s="88"/>
    </row>
    <row r="125" spans="1:14" ht="31.95" customHeight="1" thickBot="1" x14ac:dyDescent="0.35">
      <c r="A125" s="68">
        <f t="shared" si="1"/>
        <v>124</v>
      </c>
      <c r="B125" s="13" t="s">
        <v>255</v>
      </c>
      <c r="C125" s="13" t="s">
        <v>239</v>
      </c>
      <c r="D125" s="14" t="s">
        <v>79</v>
      </c>
      <c r="E125" s="15" t="s">
        <v>71</v>
      </c>
      <c r="F125" s="15" t="s">
        <v>75</v>
      </c>
      <c r="G125" s="15"/>
      <c r="H125" s="109">
        <v>10</v>
      </c>
      <c r="I125" s="17">
        <v>46056</v>
      </c>
      <c r="J125" s="17">
        <v>46066</v>
      </c>
      <c r="K125" s="14"/>
      <c r="L125" s="80"/>
      <c r="M125" s="15" t="s">
        <v>240</v>
      </c>
      <c r="N125" s="88"/>
    </row>
    <row r="126" spans="1:14" ht="31.95" customHeight="1" thickBot="1" x14ac:dyDescent="0.35">
      <c r="A126" s="68">
        <f t="shared" si="1"/>
        <v>125</v>
      </c>
      <c r="B126" s="13" t="s">
        <v>256</v>
      </c>
      <c r="C126" s="13" t="s">
        <v>239</v>
      </c>
      <c r="D126" s="14"/>
      <c r="E126" s="15" t="s">
        <v>62</v>
      </c>
      <c r="F126" s="15" t="s">
        <v>68</v>
      </c>
      <c r="G126" s="15"/>
      <c r="H126" s="109"/>
      <c r="I126" s="17"/>
      <c r="J126" s="17"/>
      <c r="K126" s="14"/>
      <c r="L126" s="80"/>
      <c r="M126" s="15" t="s">
        <v>240</v>
      </c>
      <c r="N126" s="88"/>
    </row>
    <row r="127" spans="1:14" ht="31.95" customHeight="1" thickBot="1" x14ac:dyDescent="0.35">
      <c r="A127" s="68">
        <f t="shared" si="1"/>
        <v>126</v>
      </c>
      <c r="B127" s="13" t="s">
        <v>257</v>
      </c>
      <c r="C127" s="13" t="s">
        <v>239</v>
      </c>
      <c r="D127" s="14" t="s">
        <v>89</v>
      </c>
      <c r="E127" s="15" t="s">
        <v>62</v>
      </c>
      <c r="F127" s="15" t="s">
        <v>68</v>
      </c>
      <c r="G127" s="15"/>
      <c r="H127" s="109"/>
      <c r="I127" s="17"/>
      <c r="J127" s="17"/>
      <c r="K127" s="14"/>
      <c r="L127" s="80"/>
      <c r="M127" s="15" t="s">
        <v>240</v>
      </c>
      <c r="N127" s="88"/>
    </row>
    <row r="128" spans="1:14" ht="31.95" customHeight="1" thickBot="1" x14ac:dyDescent="0.35">
      <c r="A128" s="68">
        <f t="shared" si="1"/>
        <v>127</v>
      </c>
      <c r="B128" s="13" t="s">
        <v>258</v>
      </c>
      <c r="C128" s="13" t="s">
        <v>239</v>
      </c>
      <c r="D128" s="14"/>
      <c r="E128" s="15" t="s">
        <v>62</v>
      </c>
      <c r="F128" s="15" t="s">
        <v>68</v>
      </c>
      <c r="G128" s="15"/>
      <c r="H128" s="109"/>
      <c r="I128" s="17"/>
      <c r="J128" s="17"/>
      <c r="K128" s="14"/>
      <c r="L128" s="80"/>
      <c r="M128" s="15" t="s">
        <v>240</v>
      </c>
      <c r="N128" s="88"/>
    </row>
    <row r="129" spans="1:14" ht="31.95" customHeight="1" thickBot="1" x14ac:dyDescent="0.35">
      <c r="A129" s="68">
        <f t="shared" si="1"/>
        <v>128</v>
      </c>
      <c r="B129" s="13" t="s">
        <v>259</v>
      </c>
      <c r="C129" s="13" t="s">
        <v>239</v>
      </c>
      <c r="D129" s="14"/>
      <c r="E129" s="15" t="s">
        <v>62</v>
      </c>
      <c r="F129" s="15" t="s">
        <v>68</v>
      </c>
      <c r="G129" s="15"/>
      <c r="H129" s="109"/>
      <c r="I129" s="17"/>
      <c r="J129" s="17"/>
      <c r="K129" s="14"/>
      <c r="L129" s="80"/>
      <c r="M129" s="15" t="s">
        <v>240</v>
      </c>
      <c r="N129" s="88"/>
    </row>
    <row r="130" spans="1:14" ht="31.95" customHeight="1" thickBot="1" x14ac:dyDescent="0.35">
      <c r="A130" s="68">
        <f t="shared" ref="A130:A193" si="2">IF($B130="","",ROW()-1)</f>
        <v>129</v>
      </c>
      <c r="B130" s="13" t="s">
        <v>260</v>
      </c>
      <c r="C130" s="13" t="s">
        <v>239</v>
      </c>
      <c r="D130" s="14" t="s">
        <v>89</v>
      </c>
      <c r="E130" s="15" t="s">
        <v>71</v>
      </c>
      <c r="F130" s="15" t="s">
        <v>68</v>
      </c>
      <c r="G130" s="15"/>
      <c r="H130" s="109">
        <v>4</v>
      </c>
      <c r="I130" s="17">
        <v>46126</v>
      </c>
      <c r="J130" s="17">
        <v>46142</v>
      </c>
      <c r="K130" s="14"/>
      <c r="L130" s="80"/>
      <c r="M130" s="15" t="s">
        <v>240</v>
      </c>
      <c r="N130" s="88"/>
    </row>
    <row r="131" spans="1:14" ht="31.95" customHeight="1" thickBot="1" x14ac:dyDescent="0.35">
      <c r="A131" s="68">
        <f t="shared" si="2"/>
        <v>130</v>
      </c>
      <c r="B131" s="13" t="s">
        <v>261</v>
      </c>
      <c r="C131" s="13" t="s">
        <v>239</v>
      </c>
      <c r="D131" s="14" t="s">
        <v>262</v>
      </c>
      <c r="E131" s="15" t="s">
        <v>71</v>
      </c>
      <c r="F131" s="15" t="s">
        <v>68</v>
      </c>
      <c r="G131" s="15"/>
      <c r="H131" s="109">
        <v>60</v>
      </c>
      <c r="I131" s="17">
        <v>46113</v>
      </c>
      <c r="J131" s="17">
        <v>46192</v>
      </c>
      <c r="K131" s="14"/>
      <c r="L131" s="80"/>
      <c r="M131" s="15" t="s">
        <v>240</v>
      </c>
      <c r="N131" s="88"/>
    </row>
    <row r="132" spans="1:14" ht="31.95" customHeight="1" thickBot="1" x14ac:dyDescent="0.35">
      <c r="A132" s="68">
        <f t="shared" si="2"/>
        <v>131</v>
      </c>
      <c r="B132" s="13" t="s">
        <v>263</v>
      </c>
      <c r="C132" s="13" t="s">
        <v>239</v>
      </c>
      <c r="D132" s="14" t="s">
        <v>264</v>
      </c>
      <c r="E132" s="15" t="s">
        <v>73</v>
      </c>
      <c r="F132" s="15" t="s">
        <v>63</v>
      </c>
      <c r="G132" s="15"/>
      <c r="H132" s="109">
        <v>30</v>
      </c>
      <c r="I132" s="17">
        <v>46083</v>
      </c>
      <c r="J132" s="17">
        <v>46170</v>
      </c>
      <c r="K132" s="14"/>
      <c r="L132" s="80"/>
      <c r="M132" s="15" t="s">
        <v>240</v>
      </c>
      <c r="N132" s="88"/>
    </row>
    <row r="133" spans="1:14" ht="31.95" customHeight="1" thickBot="1" x14ac:dyDescent="0.35">
      <c r="A133" s="68">
        <f t="shared" si="2"/>
        <v>132</v>
      </c>
      <c r="B133" s="13" t="s">
        <v>265</v>
      </c>
      <c r="C133" s="13" t="s">
        <v>239</v>
      </c>
      <c r="D133" s="14" t="s">
        <v>79</v>
      </c>
      <c r="E133" s="15" t="s">
        <v>73</v>
      </c>
      <c r="F133" s="15" t="s">
        <v>75</v>
      </c>
      <c r="G133" s="15"/>
      <c r="H133" s="109">
        <v>20</v>
      </c>
      <c r="I133" s="17">
        <v>46168</v>
      </c>
      <c r="J133" s="17">
        <v>46171</v>
      </c>
      <c r="K133" s="14"/>
      <c r="L133" s="80"/>
      <c r="M133" s="15" t="s">
        <v>240</v>
      </c>
      <c r="N133" s="88"/>
    </row>
    <row r="134" spans="1:14" ht="31.95" customHeight="1" thickBot="1" x14ac:dyDescent="0.35">
      <c r="A134" s="68">
        <f t="shared" si="2"/>
        <v>133</v>
      </c>
      <c r="B134" s="13" t="s">
        <v>266</v>
      </c>
      <c r="C134" s="13" t="s">
        <v>239</v>
      </c>
      <c r="D134" s="14" t="s">
        <v>79</v>
      </c>
      <c r="E134" s="15" t="s">
        <v>71</v>
      </c>
      <c r="F134" s="15" t="s">
        <v>68</v>
      </c>
      <c r="G134" s="15"/>
      <c r="H134" s="109">
        <v>20</v>
      </c>
      <c r="I134" s="17">
        <v>46113</v>
      </c>
      <c r="J134" s="17">
        <v>46129</v>
      </c>
      <c r="K134" s="14"/>
      <c r="L134" s="80"/>
      <c r="M134" s="15" t="s">
        <v>240</v>
      </c>
      <c r="N134" s="88"/>
    </row>
    <row r="135" spans="1:14" ht="31.95" customHeight="1" thickBot="1" x14ac:dyDescent="0.35">
      <c r="A135" s="68">
        <f t="shared" si="2"/>
        <v>134</v>
      </c>
      <c r="B135" s="13" t="s">
        <v>267</v>
      </c>
      <c r="C135" s="13" t="s">
        <v>239</v>
      </c>
      <c r="D135" s="14" t="s">
        <v>268</v>
      </c>
      <c r="E135" s="15" t="s">
        <v>71</v>
      </c>
      <c r="F135" s="15" t="s">
        <v>68</v>
      </c>
      <c r="G135" s="15"/>
      <c r="H135" s="109">
        <v>30</v>
      </c>
      <c r="I135" s="17">
        <v>46113</v>
      </c>
      <c r="J135" s="17">
        <v>46129</v>
      </c>
      <c r="K135" s="14"/>
      <c r="L135" s="80"/>
      <c r="M135" s="15" t="s">
        <v>240</v>
      </c>
      <c r="N135" s="88"/>
    </row>
    <row r="136" spans="1:14" ht="31.95" customHeight="1" thickBot="1" x14ac:dyDescent="0.35">
      <c r="A136" s="68">
        <f t="shared" si="2"/>
        <v>135</v>
      </c>
      <c r="B136" s="13" t="s">
        <v>269</v>
      </c>
      <c r="C136" s="13" t="s">
        <v>239</v>
      </c>
      <c r="D136" s="14" t="s">
        <v>61</v>
      </c>
      <c r="E136" s="15" t="s">
        <v>71</v>
      </c>
      <c r="F136" s="15" t="s">
        <v>68</v>
      </c>
      <c r="G136" s="15"/>
      <c r="H136" s="109">
        <v>30</v>
      </c>
      <c r="I136" s="17">
        <v>46113</v>
      </c>
      <c r="J136" s="17">
        <v>46142</v>
      </c>
      <c r="K136" s="14"/>
      <c r="L136" s="80"/>
      <c r="M136" s="15" t="s">
        <v>240</v>
      </c>
      <c r="N136" s="88"/>
    </row>
    <row r="137" spans="1:14" ht="31.95" customHeight="1" thickBot="1" x14ac:dyDescent="0.35">
      <c r="A137" s="68">
        <f t="shared" si="2"/>
        <v>136</v>
      </c>
      <c r="B137" s="13" t="s">
        <v>270</v>
      </c>
      <c r="C137" s="13" t="s">
        <v>239</v>
      </c>
      <c r="D137" s="14" t="s">
        <v>79</v>
      </c>
      <c r="E137" s="15" t="s">
        <v>71</v>
      </c>
      <c r="F137" s="15" t="s">
        <v>68</v>
      </c>
      <c r="G137" s="15"/>
      <c r="H137" s="109">
        <v>45</v>
      </c>
      <c r="I137" s="17">
        <v>45992</v>
      </c>
      <c r="J137" s="17">
        <v>46022</v>
      </c>
      <c r="K137" s="14"/>
      <c r="L137" s="80"/>
      <c r="M137" s="15" t="s">
        <v>240</v>
      </c>
      <c r="N137" s="88"/>
    </row>
    <row r="138" spans="1:14" ht="31.95" customHeight="1" thickBot="1" x14ac:dyDescent="0.35">
      <c r="A138" s="68">
        <f t="shared" si="2"/>
        <v>137</v>
      </c>
      <c r="B138" s="13" t="s">
        <v>271</v>
      </c>
      <c r="C138" s="13" t="s">
        <v>239</v>
      </c>
      <c r="D138" s="14" t="s">
        <v>61</v>
      </c>
      <c r="E138" s="15" t="s">
        <v>71</v>
      </c>
      <c r="F138" s="15" t="s">
        <v>68</v>
      </c>
      <c r="G138" s="15"/>
      <c r="H138" s="109">
        <v>30</v>
      </c>
      <c r="I138" s="17">
        <v>45993</v>
      </c>
      <c r="J138" s="17">
        <v>46017</v>
      </c>
      <c r="K138" s="14"/>
      <c r="L138" s="80"/>
      <c r="M138" s="15" t="s">
        <v>240</v>
      </c>
      <c r="N138" s="88"/>
    </row>
    <row r="139" spans="1:14" ht="31.95" customHeight="1" thickBot="1" x14ac:dyDescent="0.35">
      <c r="A139" s="68">
        <f t="shared" si="2"/>
        <v>138</v>
      </c>
      <c r="B139" s="13" t="s">
        <v>272</v>
      </c>
      <c r="C139" s="13" t="s">
        <v>239</v>
      </c>
      <c r="D139" s="14" t="s">
        <v>89</v>
      </c>
      <c r="E139" s="15" t="s">
        <v>71</v>
      </c>
      <c r="F139" s="15" t="s">
        <v>68</v>
      </c>
      <c r="G139" s="15"/>
      <c r="H139" s="109">
        <v>20</v>
      </c>
      <c r="I139" s="17">
        <v>46023</v>
      </c>
      <c r="J139" s="17">
        <v>46045</v>
      </c>
      <c r="K139" s="14"/>
      <c r="L139" s="80"/>
      <c r="M139" s="15" t="s">
        <v>240</v>
      </c>
      <c r="N139" s="88"/>
    </row>
    <row r="140" spans="1:14" ht="31.95" customHeight="1" thickBot="1" x14ac:dyDescent="0.35">
      <c r="A140" s="68">
        <f t="shared" si="2"/>
        <v>139</v>
      </c>
      <c r="B140" s="13" t="s">
        <v>273</v>
      </c>
      <c r="C140" s="13" t="s">
        <v>239</v>
      </c>
      <c r="D140" s="14"/>
      <c r="E140" s="15" t="s">
        <v>73</v>
      </c>
      <c r="F140" s="15" t="s">
        <v>68</v>
      </c>
      <c r="G140" s="15"/>
      <c r="H140" s="109">
        <v>20</v>
      </c>
      <c r="I140" s="17">
        <v>46143</v>
      </c>
      <c r="J140" s="17">
        <v>46199</v>
      </c>
      <c r="K140" s="14"/>
      <c r="L140" s="80"/>
      <c r="M140" s="15" t="s">
        <v>240</v>
      </c>
      <c r="N140" s="88"/>
    </row>
    <row r="141" spans="1:14" ht="31.95" customHeight="1" thickBot="1" x14ac:dyDescent="0.35">
      <c r="A141" s="68">
        <f t="shared" si="2"/>
        <v>140</v>
      </c>
      <c r="B141" s="13" t="s">
        <v>274</v>
      </c>
      <c r="C141" s="13" t="s">
        <v>239</v>
      </c>
      <c r="D141" s="14" t="s">
        <v>89</v>
      </c>
      <c r="E141" s="15" t="s">
        <v>71</v>
      </c>
      <c r="F141" s="15" t="s">
        <v>68</v>
      </c>
      <c r="G141" s="15"/>
      <c r="H141" s="109">
        <v>30</v>
      </c>
      <c r="I141" s="17">
        <v>46113</v>
      </c>
      <c r="J141" s="17">
        <v>46142</v>
      </c>
      <c r="K141" s="14"/>
      <c r="L141" s="80"/>
      <c r="M141" s="15" t="s">
        <v>240</v>
      </c>
      <c r="N141" s="88"/>
    </row>
    <row r="142" spans="1:14" ht="31.95" customHeight="1" thickBot="1" x14ac:dyDescent="0.35">
      <c r="A142" s="68">
        <f t="shared" si="2"/>
        <v>141</v>
      </c>
      <c r="B142" s="13" t="s">
        <v>275</v>
      </c>
      <c r="C142" s="13" t="s">
        <v>239</v>
      </c>
      <c r="D142" s="14" t="s">
        <v>264</v>
      </c>
      <c r="E142" s="15" t="s">
        <v>71</v>
      </c>
      <c r="F142" s="15" t="s">
        <v>68</v>
      </c>
      <c r="G142" s="15"/>
      <c r="H142" s="109">
        <v>40</v>
      </c>
      <c r="I142" s="17">
        <v>46113</v>
      </c>
      <c r="J142" s="17">
        <v>46142</v>
      </c>
      <c r="K142" s="14"/>
      <c r="L142" s="80"/>
      <c r="M142" s="15" t="s">
        <v>240</v>
      </c>
      <c r="N142" s="88"/>
    </row>
    <row r="143" spans="1:14" ht="31.95" customHeight="1" thickBot="1" x14ac:dyDescent="0.35">
      <c r="A143" s="68">
        <f t="shared" si="2"/>
        <v>142</v>
      </c>
      <c r="B143" s="13" t="s">
        <v>276</v>
      </c>
      <c r="C143" s="13" t="s">
        <v>239</v>
      </c>
      <c r="D143" s="14" t="s">
        <v>262</v>
      </c>
      <c r="E143" s="15" t="s">
        <v>71</v>
      </c>
      <c r="F143" s="15" t="s">
        <v>63</v>
      </c>
      <c r="G143" s="15"/>
      <c r="H143" s="109">
        <v>25</v>
      </c>
      <c r="I143" s="17">
        <v>46113</v>
      </c>
      <c r="J143" s="17">
        <v>46142</v>
      </c>
      <c r="K143" s="14"/>
      <c r="L143" s="80"/>
      <c r="M143" s="15" t="s">
        <v>240</v>
      </c>
      <c r="N143" s="88"/>
    </row>
    <row r="144" spans="1:14" ht="31.95" customHeight="1" thickBot="1" x14ac:dyDescent="0.35">
      <c r="A144" s="68">
        <f t="shared" si="2"/>
        <v>143</v>
      </c>
      <c r="B144" s="13" t="s">
        <v>277</v>
      </c>
      <c r="C144" s="13" t="s">
        <v>239</v>
      </c>
      <c r="D144" s="14" t="s">
        <v>79</v>
      </c>
      <c r="E144" s="15" t="s">
        <v>71</v>
      </c>
      <c r="F144" s="15" t="s">
        <v>75</v>
      </c>
      <c r="G144" s="15"/>
      <c r="H144" s="109">
        <v>20</v>
      </c>
      <c r="I144" s="17">
        <v>46113</v>
      </c>
      <c r="J144" s="17">
        <v>46129</v>
      </c>
      <c r="K144" s="14"/>
      <c r="L144" s="80"/>
      <c r="M144" s="15" t="s">
        <v>240</v>
      </c>
      <c r="N144" s="88"/>
    </row>
    <row r="145" spans="1:14" ht="31.95" customHeight="1" thickBot="1" x14ac:dyDescent="0.35">
      <c r="A145" s="68">
        <f t="shared" si="2"/>
        <v>144</v>
      </c>
      <c r="B145" s="13" t="s">
        <v>278</v>
      </c>
      <c r="C145" s="13" t="s">
        <v>279</v>
      </c>
      <c r="D145" s="14" t="s">
        <v>89</v>
      </c>
      <c r="E145" s="15" t="s">
        <v>71</v>
      </c>
      <c r="F145" s="15" t="s">
        <v>68</v>
      </c>
      <c r="G145" s="15"/>
      <c r="H145" s="109">
        <v>88</v>
      </c>
      <c r="I145" s="17">
        <v>46063</v>
      </c>
      <c r="J145" s="17">
        <v>46122</v>
      </c>
      <c r="K145" s="14"/>
      <c r="L145" s="80"/>
      <c r="M145" s="15" t="s">
        <v>64</v>
      </c>
      <c r="N145" s="88"/>
    </row>
    <row r="146" spans="1:14" ht="31.95" customHeight="1" thickBot="1" x14ac:dyDescent="0.35">
      <c r="A146" s="68">
        <f t="shared" si="2"/>
        <v>145</v>
      </c>
      <c r="B146" s="13" t="s">
        <v>280</v>
      </c>
      <c r="C146" s="13" t="s">
        <v>279</v>
      </c>
      <c r="D146" s="14" t="s">
        <v>149</v>
      </c>
      <c r="E146" s="15" t="s">
        <v>71</v>
      </c>
      <c r="F146" s="15" t="s">
        <v>75</v>
      </c>
      <c r="G146" s="15"/>
      <c r="H146" s="109">
        <v>2</v>
      </c>
      <c r="I146" s="17">
        <v>46035</v>
      </c>
      <c r="J146" s="17">
        <v>46038</v>
      </c>
      <c r="K146" s="14"/>
      <c r="L146" s="80"/>
      <c r="M146" s="15" t="s">
        <v>64</v>
      </c>
      <c r="N146" s="88"/>
    </row>
    <row r="147" spans="1:14" ht="31.95" customHeight="1" thickBot="1" x14ac:dyDescent="0.35">
      <c r="A147" s="68">
        <f t="shared" si="2"/>
        <v>146</v>
      </c>
      <c r="B147" s="13" t="s">
        <v>281</v>
      </c>
      <c r="C147" s="13" t="s">
        <v>279</v>
      </c>
      <c r="D147" s="14" t="s">
        <v>79</v>
      </c>
      <c r="E147" s="15" t="s">
        <v>71</v>
      </c>
      <c r="F147" s="15" t="s">
        <v>68</v>
      </c>
      <c r="G147" s="15"/>
      <c r="H147" s="109">
        <v>40</v>
      </c>
      <c r="I147" s="17">
        <v>46041</v>
      </c>
      <c r="J147" s="17">
        <v>46043</v>
      </c>
      <c r="K147" s="14"/>
      <c r="L147" s="80"/>
      <c r="M147" s="15" t="s">
        <v>64</v>
      </c>
      <c r="N147" s="88"/>
    </row>
    <row r="148" spans="1:14" ht="31.95" customHeight="1" thickBot="1" x14ac:dyDescent="0.35">
      <c r="A148" s="68">
        <f t="shared" si="2"/>
        <v>147</v>
      </c>
      <c r="B148" s="13" t="s">
        <v>282</v>
      </c>
      <c r="C148" s="13" t="s">
        <v>279</v>
      </c>
      <c r="D148" s="14" t="s">
        <v>61</v>
      </c>
      <c r="E148" s="15" t="s">
        <v>71</v>
      </c>
      <c r="F148" s="15" t="s">
        <v>63</v>
      </c>
      <c r="G148" s="15"/>
      <c r="H148" s="109">
        <v>100</v>
      </c>
      <c r="I148" s="17">
        <v>46044</v>
      </c>
      <c r="J148" s="17">
        <v>46061</v>
      </c>
      <c r="K148" s="14"/>
      <c r="L148" s="80"/>
      <c r="M148" s="15" t="s">
        <v>64</v>
      </c>
      <c r="N148" s="88"/>
    </row>
    <row r="149" spans="1:14" ht="31.95" customHeight="1" thickBot="1" x14ac:dyDescent="0.35">
      <c r="A149" s="68">
        <f t="shared" si="2"/>
        <v>148</v>
      </c>
      <c r="B149" s="13" t="s">
        <v>283</v>
      </c>
      <c r="C149" s="13" t="s">
        <v>279</v>
      </c>
      <c r="D149" s="14" t="s">
        <v>79</v>
      </c>
      <c r="E149" s="15" t="s">
        <v>71</v>
      </c>
      <c r="F149" s="15" t="s">
        <v>63</v>
      </c>
      <c r="G149" s="15"/>
      <c r="H149" s="109">
        <v>110</v>
      </c>
      <c r="I149" s="17">
        <v>46067</v>
      </c>
      <c r="J149" s="17">
        <v>46115</v>
      </c>
      <c r="K149" s="14"/>
      <c r="L149" s="80"/>
      <c r="M149" s="15" t="s">
        <v>64</v>
      </c>
      <c r="N149" s="88"/>
    </row>
    <row r="150" spans="1:14" ht="31.95" customHeight="1" thickBot="1" x14ac:dyDescent="0.35">
      <c r="A150" s="68">
        <f t="shared" si="2"/>
        <v>149</v>
      </c>
      <c r="B150" s="13" t="s">
        <v>284</v>
      </c>
      <c r="C150" s="13" t="s">
        <v>279</v>
      </c>
      <c r="D150" s="14" t="s">
        <v>79</v>
      </c>
      <c r="E150" s="15" t="s">
        <v>71</v>
      </c>
      <c r="F150" s="15" t="s">
        <v>68</v>
      </c>
      <c r="G150" s="15"/>
      <c r="H150" s="109">
        <v>80</v>
      </c>
      <c r="I150" s="17">
        <v>46063</v>
      </c>
      <c r="J150" s="17">
        <v>46100</v>
      </c>
      <c r="K150" s="14"/>
      <c r="L150" s="80"/>
      <c r="M150" s="15" t="s">
        <v>64</v>
      </c>
      <c r="N150" s="88"/>
    </row>
    <row r="151" spans="1:14" ht="31.95" customHeight="1" thickBot="1" x14ac:dyDescent="0.35">
      <c r="A151" s="68">
        <f t="shared" si="2"/>
        <v>150</v>
      </c>
      <c r="B151" s="13" t="s">
        <v>285</v>
      </c>
      <c r="C151" s="13" t="s">
        <v>279</v>
      </c>
      <c r="D151" s="14" t="s">
        <v>149</v>
      </c>
      <c r="E151" s="15" t="s">
        <v>73</v>
      </c>
      <c r="F151" s="15" t="s">
        <v>68</v>
      </c>
      <c r="G151" s="15"/>
      <c r="H151" s="109">
        <v>40</v>
      </c>
      <c r="I151" s="17">
        <v>46063</v>
      </c>
      <c r="J151" s="17">
        <v>46112</v>
      </c>
      <c r="K151" s="14"/>
      <c r="L151" s="80"/>
      <c r="M151" s="15" t="s">
        <v>64</v>
      </c>
      <c r="N151" s="88"/>
    </row>
    <row r="152" spans="1:14" ht="31.95" customHeight="1" thickBot="1" x14ac:dyDescent="0.35">
      <c r="A152" s="68">
        <f t="shared" si="2"/>
        <v>151</v>
      </c>
      <c r="B152" s="13" t="s">
        <v>286</v>
      </c>
      <c r="C152" s="13" t="s">
        <v>279</v>
      </c>
      <c r="D152" s="14"/>
      <c r="E152" s="15" t="s">
        <v>71</v>
      </c>
      <c r="F152" s="15" t="s">
        <v>63</v>
      </c>
      <c r="G152" s="15"/>
      <c r="H152" s="109">
        <v>80</v>
      </c>
      <c r="I152" s="17">
        <v>46063</v>
      </c>
      <c r="J152" s="17">
        <v>46112</v>
      </c>
      <c r="K152" s="14"/>
      <c r="L152" s="80"/>
      <c r="M152" s="15" t="s">
        <v>64</v>
      </c>
      <c r="N152" s="88"/>
    </row>
    <row r="153" spans="1:14" ht="31.95" customHeight="1" thickBot="1" x14ac:dyDescent="0.35">
      <c r="A153" s="68">
        <f t="shared" si="2"/>
        <v>152</v>
      </c>
      <c r="B153" s="13" t="s">
        <v>287</v>
      </c>
      <c r="C153" s="13" t="s">
        <v>279</v>
      </c>
      <c r="D153" s="14" t="s">
        <v>79</v>
      </c>
      <c r="E153" s="15" t="s">
        <v>73</v>
      </c>
      <c r="F153" s="15" t="s">
        <v>63</v>
      </c>
      <c r="G153" s="15"/>
      <c r="H153" s="109">
        <v>30</v>
      </c>
      <c r="I153" s="17">
        <v>46149</v>
      </c>
      <c r="J153" s="17">
        <v>46155</v>
      </c>
      <c r="K153" s="14"/>
      <c r="L153" s="80"/>
      <c r="M153" s="15" t="s">
        <v>64</v>
      </c>
      <c r="N153" s="88"/>
    </row>
    <row r="154" spans="1:14" ht="31.95" customHeight="1" thickBot="1" x14ac:dyDescent="0.35">
      <c r="A154" s="68">
        <f t="shared" si="2"/>
        <v>153</v>
      </c>
      <c r="B154" s="13" t="s">
        <v>288</v>
      </c>
      <c r="C154" s="13" t="s">
        <v>279</v>
      </c>
      <c r="D154" s="14" t="s">
        <v>61</v>
      </c>
      <c r="E154" s="15" t="s">
        <v>73</v>
      </c>
      <c r="F154" s="15" t="s">
        <v>63</v>
      </c>
      <c r="G154" s="15"/>
      <c r="H154" s="109">
        <v>30</v>
      </c>
      <c r="I154" s="17">
        <v>46149</v>
      </c>
      <c r="J154" s="17">
        <v>46155</v>
      </c>
      <c r="K154" s="14"/>
      <c r="L154" s="80"/>
      <c r="M154" s="15" t="s">
        <v>64</v>
      </c>
      <c r="N154" s="88"/>
    </row>
    <row r="155" spans="1:14" ht="31.95" customHeight="1" thickBot="1" x14ac:dyDescent="0.35">
      <c r="A155" s="68">
        <f t="shared" si="2"/>
        <v>154</v>
      </c>
      <c r="B155" s="13" t="s">
        <v>289</v>
      </c>
      <c r="C155" s="13" t="s">
        <v>279</v>
      </c>
      <c r="D155" s="14" t="s">
        <v>89</v>
      </c>
      <c r="E155" s="15" t="s">
        <v>73</v>
      </c>
      <c r="F155" s="15" t="s">
        <v>63</v>
      </c>
      <c r="G155" s="15"/>
      <c r="H155" s="109">
        <v>30</v>
      </c>
      <c r="I155" s="17">
        <v>46150</v>
      </c>
      <c r="J155" s="17">
        <v>46155</v>
      </c>
      <c r="K155" s="14"/>
      <c r="L155" s="80"/>
      <c r="M155" s="15" t="s">
        <v>64</v>
      </c>
      <c r="N155" s="88"/>
    </row>
    <row r="156" spans="1:14" ht="31.95" customHeight="1" thickBot="1" x14ac:dyDescent="0.35">
      <c r="A156" s="68">
        <f t="shared" si="2"/>
        <v>155</v>
      </c>
      <c r="B156" s="13" t="s">
        <v>290</v>
      </c>
      <c r="C156" s="13" t="s">
        <v>291</v>
      </c>
      <c r="D156" s="14" t="s">
        <v>149</v>
      </c>
      <c r="E156" s="15" t="s">
        <v>73</v>
      </c>
      <c r="F156" s="15" t="s">
        <v>68</v>
      </c>
      <c r="G156" s="15"/>
      <c r="H156" s="109">
        <v>80</v>
      </c>
      <c r="I156" s="17">
        <v>46074</v>
      </c>
      <c r="J156" s="17">
        <v>46113</v>
      </c>
      <c r="K156" s="14"/>
      <c r="L156" s="80"/>
      <c r="M156" s="15" t="s">
        <v>64</v>
      </c>
      <c r="N156" s="88"/>
    </row>
    <row r="157" spans="1:14" ht="31.95" customHeight="1" thickBot="1" x14ac:dyDescent="0.35">
      <c r="A157" s="68">
        <f t="shared" si="2"/>
        <v>156</v>
      </c>
      <c r="B157" s="13" t="s">
        <v>292</v>
      </c>
      <c r="C157" s="13" t="s">
        <v>291</v>
      </c>
      <c r="D157" s="14"/>
      <c r="E157" s="15" t="s">
        <v>62</v>
      </c>
      <c r="F157" s="15" t="s">
        <v>68</v>
      </c>
      <c r="G157" s="15"/>
      <c r="H157" s="109"/>
      <c r="I157" s="17"/>
      <c r="J157" s="17"/>
      <c r="K157" s="14"/>
      <c r="L157" s="80"/>
      <c r="M157" s="15" t="s">
        <v>64</v>
      </c>
      <c r="N157" s="88"/>
    </row>
    <row r="158" spans="1:14" ht="31.95" customHeight="1" thickBot="1" x14ac:dyDescent="0.35">
      <c r="A158" s="68">
        <f t="shared" si="2"/>
        <v>157</v>
      </c>
      <c r="B158" s="13" t="s">
        <v>293</v>
      </c>
      <c r="C158" s="13" t="s">
        <v>291</v>
      </c>
      <c r="D158" s="14"/>
      <c r="E158" s="15" t="s">
        <v>62</v>
      </c>
      <c r="F158" s="15" t="s">
        <v>75</v>
      </c>
      <c r="G158" s="15"/>
      <c r="H158" s="109"/>
      <c r="I158" s="17"/>
      <c r="J158" s="17"/>
      <c r="K158" s="14"/>
      <c r="L158" s="80"/>
      <c r="M158" s="15" t="s">
        <v>64</v>
      </c>
      <c r="N158" s="88"/>
    </row>
    <row r="159" spans="1:14" ht="31.95" customHeight="1" thickBot="1" x14ac:dyDescent="0.35">
      <c r="A159" s="68">
        <f t="shared" si="2"/>
        <v>158</v>
      </c>
      <c r="B159" s="13" t="s">
        <v>294</v>
      </c>
      <c r="C159" s="13" t="s">
        <v>291</v>
      </c>
      <c r="D159" s="14" t="s">
        <v>149</v>
      </c>
      <c r="E159" s="15" t="s">
        <v>73</v>
      </c>
      <c r="F159" s="15" t="s">
        <v>68</v>
      </c>
      <c r="G159" s="15"/>
      <c r="H159" s="109">
        <v>160</v>
      </c>
      <c r="I159" s="17">
        <v>46063</v>
      </c>
      <c r="J159" s="17">
        <v>46118</v>
      </c>
      <c r="K159" s="14"/>
      <c r="L159" s="80"/>
      <c r="M159" s="15" t="s">
        <v>64</v>
      </c>
      <c r="N159" s="88"/>
    </row>
    <row r="160" spans="1:14" ht="31.95" customHeight="1" thickBot="1" x14ac:dyDescent="0.35">
      <c r="A160" s="68">
        <f t="shared" si="2"/>
        <v>159</v>
      </c>
      <c r="B160" s="13" t="s">
        <v>295</v>
      </c>
      <c r="C160" s="13" t="s">
        <v>291</v>
      </c>
      <c r="D160" s="14" t="s">
        <v>89</v>
      </c>
      <c r="E160" s="15" t="s">
        <v>71</v>
      </c>
      <c r="F160" s="15" t="s">
        <v>68</v>
      </c>
      <c r="G160" s="15"/>
      <c r="H160" s="109">
        <v>40</v>
      </c>
      <c r="I160" s="17">
        <v>46091</v>
      </c>
      <c r="J160" s="17">
        <v>46108</v>
      </c>
      <c r="K160" s="14"/>
      <c r="L160" s="80"/>
      <c r="M160" s="15" t="s">
        <v>64</v>
      </c>
      <c r="N160" s="88"/>
    </row>
    <row r="161" spans="1:14" ht="31.95" customHeight="1" thickBot="1" x14ac:dyDescent="0.35">
      <c r="A161" s="68">
        <f t="shared" si="2"/>
        <v>160</v>
      </c>
      <c r="B161" s="13" t="s">
        <v>296</v>
      </c>
      <c r="C161" s="13" t="s">
        <v>291</v>
      </c>
      <c r="D161" s="14"/>
      <c r="E161" s="15" t="s">
        <v>71</v>
      </c>
      <c r="F161" s="15" t="s">
        <v>68</v>
      </c>
      <c r="G161" s="15"/>
      <c r="H161" s="109"/>
      <c r="I161" s="17"/>
      <c r="J161" s="17"/>
      <c r="K161" s="14"/>
      <c r="L161" s="80"/>
      <c r="M161" s="15" t="s">
        <v>64</v>
      </c>
      <c r="N161" s="88"/>
    </row>
    <row r="162" spans="1:14" ht="31.95" customHeight="1" thickBot="1" x14ac:dyDescent="0.35">
      <c r="A162" s="68">
        <f t="shared" si="2"/>
        <v>161</v>
      </c>
      <c r="B162" s="13" t="s">
        <v>297</v>
      </c>
      <c r="C162" s="13" t="s">
        <v>291</v>
      </c>
      <c r="D162" s="14"/>
      <c r="E162" s="15" t="s">
        <v>71</v>
      </c>
      <c r="F162" s="15" t="s">
        <v>68</v>
      </c>
      <c r="G162" s="15"/>
      <c r="H162" s="109"/>
      <c r="I162" s="17"/>
      <c r="J162" s="17"/>
      <c r="K162" s="14"/>
      <c r="L162" s="80"/>
      <c r="M162" s="15" t="s">
        <v>64</v>
      </c>
      <c r="N162" s="88"/>
    </row>
    <row r="163" spans="1:14" ht="31.95" customHeight="1" thickBot="1" x14ac:dyDescent="0.35">
      <c r="A163" s="68">
        <f t="shared" si="2"/>
        <v>162</v>
      </c>
      <c r="B163" s="13" t="s">
        <v>298</v>
      </c>
      <c r="C163" s="13" t="s">
        <v>291</v>
      </c>
      <c r="D163" s="14" t="s">
        <v>79</v>
      </c>
      <c r="E163" s="15" t="s">
        <v>71</v>
      </c>
      <c r="F163" s="15" t="s">
        <v>68</v>
      </c>
      <c r="G163" s="15"/>
      <c r="H163" s="109">
        <v>20</v>
      </c>
      <c r="I163" s="17">
        <v>46118</v>
      </c>
      <c r="J163" s="17">
        <v>46120</v>
      </c>
      <c r="K163" s="14"/>
      <c r="L163" s="80"/>
      <c r="M163" s="15" t="s">
        <v>64</v>
      </c>
      <c r="N163" s="88"/>
    </row>
    <row r="164" spans="1:14" ht="31.95" customHeight="1" thickBot="1" x14ac:dyDescent="0.35">
      <c r="A164" s="68">
        <f t="shared" si="2"/>
        <v>163</v>
      </c>
      <c r="B164" s="13" t="s">
        <v>299</v>
      </c>
      <c r="C164" s="13" t="s">
        <v>291</v>
      </c>
      <c r="D164" s="14" t="s">
        <v>79</v>
      </c>
      <c r="E164" s="15" t="s">
        <v>71</v>
      </c>
      <c r="F164" s="15" t="s">
        <v>68</v>
      </c>
      <c r="G164" s="15"/>
      <c r="H164" s="109">
        <v>40</v>
      </c>
      <c r="I164" s="17">
        <v>46118</v>
      </c>
      <c r="J164" s="17">
        <v>46123</v>
      </c>
      <c r="K164" s="14"/>
      <c r="L164" s="80"/>
      <c r="M164" s="15" t="s">
        <v>64</v>
      </c>
      <c r="N164" s="88"/>
    </row>
    <row r="165" spans="1:14" ht="31.95" customHeight="1" thickBot="1" x14ac:dyDescent="0.35">
      <c r="A165" s="68">
        <f t="shared" si="2"/>
        <v>164</v>
      </c>
      <c r="B165" s="13" t="s">
        <v>300</v>
      </c>
      <c r="C165" s="13" t="s">
        <v>291</v>
      </c>
      <c r="D165" s="14" t="s">
        <v>89</v>
      </c>
      <c r="E165" s="15" t="s">
        <v>73</v>
      </c>
      <c r="F165" s="15" t="s">
        <v>75</v>
      </c>
      <c r="G165" s="15"/>
      <c r="H165" s="109">
        <v>100</v>
      </c>
      <c r="I165" s="17">
        <v>46111</v>
      </c>
      <c r="J165" s="17">
        <v>46128</v>
      </c>
      <c r="K165" s="14"/>
      <c r="L165" s="80"/>
      <c r="M165" s="15" t="s">
        <v>64</v>
      </c>
      <c r="N165" s="88"/>
    </row>
    <row r="166" spans="1:14" ht="31.95" customHeight="1" thickBot="1" x14ac:dyDescent="0.35">
      <c r="A166" s="68">
        <f t="shared" si="2"/>
        <v>165</v>
      </c>
      <c r="B166" s="13" t="s">
        <v>301</v>
      </c>
      <c r="C166" s="13" t="s">
        <v>291</v>
      </c>
      <c r="D166" s="14"/>
      <c r="E166" s="15" t="s">
        <v>71</v>
      </c>
      <c r="F166" s="15" t="s">
        <v>68</v>
      </c>
      <c r="G166" s="15"/>
      <c r="H166" s="109">
        <v>10</v>
      </c>
      <c r="I166" s="17">
        <v>46118</v>
      </c>
      <c r="J166" s="17">
        <v>46127</v>
      </c>
      <c r="K166" s="14"/>
      <c r="L166" s="80"/>
      <c r="M166" s="15" t="s">
        <v>64</v>
      </c>
      <c r="N166" s="88"/>
    </row>
    <row r="167" spans="1:14" ht="31.95" customHeight="1" thickBot="1" x14ac:dyDescent="0.35">
      <c r="A167" s="68">
        <f t="shared" si="2"/>
        <v>166</v>
      </c>
      <c r="B167" s="13" t="s">
        <v>302</v>
      </c>
      <c r="C167" s="13" t="s">
        <v>291</v>
      </c>
      <c r="D167" s="14" t="s">
        <v>89</v>
      </c>
      <c r="E167" s="15" t="s">
        <v>71</v>
      </c>
      <c r="F167" s="15" t="s">
        <v>63</v>
      </c>
      <c r="G167" s="15"/>
      <c r="H167" s="109">
        <v>78</v>
      </c>
      <c r="I167" s="17">
        <v>46062</v>
      </c>
      <c r="J167" s="17">
        <v>46101</v>
      </c>
      <c r="K167" s="14"/>
      <c r="L167" s="80"/>
      <c r="M167" s="15" t="s">
        <v>64</v>
      </c>
      <c r="N167" s="88"/>
    </row>
    <row r="168" spans="1:14" ht="31.95" customHeight="1" thickBot="1" x14ac:dyDescent="0.35">
      <c r="A168" s="68">
        <f t="shared" si="2"/>
        <v>167</v>
      </c>
      <c r="B168" s="13" t="s">
        <v>303</v>
      </c>
      <c r="C168" s="13" t="s">
        <v>291</v>
      </c>
      <c r="D168" s="14"/>
      <c r="E168" s="15" t="s">
        <v>71</v>
      </c>
      <c r="F168" s="15" t="s">
        <v>63</v>
      </c>
      <c r="G168" s="15"/>
      <c r="H168" s="109">
        <v>1</v>
      </c>
      <c r="I168" s="17">
        <v>46112</v>
      </c>
      <c r="J168" s="17">
        <v>46112</v>
      </c>
      <c r="K168" s="14"/>
      <c r="L168" s="80"/>
      <c r="M168" s="15" t="s">
        <v>64</v>
      </c>
      <c r="N168" s="88"/>
    </row>
    <row r="169" spans="1:14" ht="31.95" customHeight="1" thickBot="1" x14ac:dyDescent="0.35">
      <c r="A169" s="68">
        <f t="shared" si="2"/>
        <v>168</v>
      </c>
      <c r="B169" s="13" t="s">
        <v>304</v>
      </c>
      <c r="C169" s="13" t="s">
        <v>305</v>
      </c>
      <c r="D169" s="14"/>
      <c r="E169" s="15" t="s">
        <v>62</v>
      </c>
      <c r="F169" s="15" t="s">
        <v>68</v>
      </c>
      <c r="G169" s="15"/>
      <c r="H169" s="109">
        <v>50</v>
      </c>
      <c r="I169" s="17"/>
      <c r="J169" s="17"/>
      <c r="K169" s="14"/>
      <c r="L169" s="80"/>
      <c r="M169" s="15" t="s">
        <v>306</v>
      </c>
      <c r="N169" s="88"/>
    </row>
    <row r="170" spans="1:14" ht="31.95" customHeight="1" thickBot="1" x14ac:dyDescent="0.35">
      <c r="A170" s="68">
        <f t="shared" si="2"/>
        <v>169</v>
      </c>
      <c r="B170" s="13" t="s">
        <v>307</v>
      </c>
      <c r="C170" s="13" t="s">
        <v>308</v>
      </c>
      <c r="D170" s="14" t="s">
        <v>79</v>
      </c>
      <c r="E170" s="15" t="s">
        <v>73</v>
      </c>
      <c r="F170" s="15" t="s">
        <v>68</v>
      </c>
      <c r="G170" s="15"/>
      <c r="H170" s="109">
        <v>10</v>
      </c>
      <c r="I170" s="17">
        <v>46143</v>
      </c>
      <c r="J170" s="17">
        <v>46387</v>
      </c>
      <c r="K170" s="14"/>
      <c r="L170" s="80"/>
      <c r="M170" s="15" t="s">
        <v>119</v>
      </c>
      <c r="N170" s="88"/>
    </row>
    <row r="171" spans="1:14" ht="31.95" customHeight="1" thickBot="1" x14ac:dyDescent="0.35">
      <c r="A171" s="68">
        <f t="shared" si="2"/>
        <v>170</v>
      </c>
      <c r="B171" s="13" t="s">
        <v>309</v>
      </c>
      <c r="C171" s="13" t="s">
        <v>308</v>
      </c>
      <c r="D171" s="14" t="s">
        <v>149</v>
      </c>
      <c r="E171" s="15" t="s">
        <v>73</v>
      </c>
      <c r="F171" s="15" t="s">
        <v>75</v>
      </c>
      <c r="G171" s="15"/>
      <c r="H171" s="109">
        <v>10</v>
      </c>
      <c r="I171" s="17"/>
      <c r="J171" s="17"/>
      <c r="K171" s="14"/>
      <c r="L171" s="80"/>
      <c r="M171" s="15" t="s">
        <v>119</v>
      </c>
      <c r="N171" s="88"/>
    </row>
    <row r="172" spans="1:14" ht="31.95" customHeight="1" thickBot="1" x14ac:dyDescent="0.35">
      <c r="A172" s="68">
        <f t="shared" si="2"/>
        <v>171</v>
      </c>
      <c r="B172" s="13" t="s">
        <v>310</v>
      </c>
      <c r="C172" s="13" t="s">
        <v>308</v>
      </c>
      <c r="D172" s="14"/>
      <c r="E172" s="15" t="s">
        <v>62</v>
      </c>
      <c r="F172" s="15" t="s">
        <v>68</v>
      </c>
      <c r="G172" s="15"/>
      <c r="H172" s="109"/>
      <c r="I172" s="17"/>
      <c r="J172" s="17"/>
      <c r="K172" s="14"/>
      <c r="L172" s="80"/>
      <c r="M172" s="15" t="s">
        <v>119</v>
      </c>
      <c r="N172" s="88"/>
    </row>
    <row r="173" spans="1:14" ht="31.95" customHeight="1" thickBot="1" x14ac:dyDescent="0.35">
      <c r="A173" s="68">
        <f t="shared" si="2"/>
        <v>172</v>
      </c>
      <c r="B173" s="13" t="s">
        <v>311</v>
      </c>
      <c r="C173" s="13" t="s">
        <v>308</v>
      </c>
      <c r="D173" s="14" t="s">
        <v>79</v>
      </c>
      <c r="E173" s="15" t="s">
        <v>71</v>
      </c>
      <c r="F173" s="15" t="s">
        <v>68</v>
      </c>
      <c r="G173" s="15"/>
      <c r="H173" s="109">
        <v>30</v>
      </c>
      <c r="I173" s="17">
        <v>46084</v>
      </c>
      <c r="J173" s="17">
        <v>46108</v>
      </c>
      <c r="K173" s="14"/>
      <c r="L173" s="80"/>
      <c r="M173" s="15" t="s">
        <v>119</v>
      </c>
      <c r="N173" s="88"/>
    </row>
    <row r="174" spans="1:14" ht="31.95" customHeight="1" thickBot="1" x14ac:dyDescent="0.35">
      <c r="A174" s="68">
        <f t="shared" si="2"/>
        <v>173</v>
      </c>
      <c r="B174" s="13" t="s">
        <v>312</v>
      </c>
      <c r="C174" s="13" t="s">
        <v>308</v>
      </c>
      <c r="D174" s="14"/>
      <c r="E174" s="15" t="s">
        <v>62</v>
      </c>
      <c r="F174" s="15" t="s">
        <v>68</v>
      </c>
      <c r="G174" s="15"/>
      <c r="H174" s="109"/>
      <c r="I174" s="17"/>
      <c r="J174" s="17"/>
      <c r="K174" s="14"/>
      <c r="L174" s="80"/>
      <c r="M174" s="15" t="s">
        <v>119</v>
      </c>
      <c r="N174" s="88"/>
    </row>
    <row r="175" spans="1:14" ht="31.95" customHeight="1" thickBot="1" x14ac:dyDescent="0.35">
      <c r="A175" s="68">
        <f t="shared" si="2"/>
        <v>174</v>
      </c>
      <c r="B175" s="13" t="s">
        <v>313</v>
      </c>
      <c r="C175" s="13" t="s">
        <v>308</v>
      </c>
      <c r="D175" s="14" t="s">
        <v>79</v>
      </c>
      <c r="E175" s="15" t="s">
        <v>71</v>
      </c>
      <c r="F175" s="15" t="s">
        <v>75</v>
      </c>
      <c r="G175" s="15"/>
      <c r="H175" s="109">
        <v>5</v>
      </c>
      <c r="I175" s="17">
        <v>46028</v>
      </c>
      <c r="J175" s="17">
        <v>46038</v>
      </c>
      <c r="K175" s="14"/>
      <c r="L175" s="80"/>
      <c r="M175" s="15" t="s">
        <v>119</v>
      </c>
      <c r="N175" s="88"/>
    </row>
    <row r="176" spans="1:14" ht="31.95" customHeight="1" thickBot="1" x14ac:dyDescent="0.35">
      <c r="A176" s="68">
        <f t="shared" si="2"/>
        <v>175</v>
      </c>
      <c r="B176" s="13" t="s">
        <v>314</v>
      </c>
      <c r="C176" s="13" t="s">
        <v>308</v>
      </c>
      <c r="D176" s="14" t="s">
        <v>79</v>
      </c>
      <c r="E176" s="15" t="s">
        <v>71</v>
      </c>
      <c r="F176" s="15" t="s">
        <v>68</v>
      </c>
      <c r="G176" s="15"/>
      <c r="H176" s="109">
        <v>5</v>
      </c>
      <c r="I176" s="17">
        <v>46028</v>
      </c>
      <c r="J176" s="17">
        <v>46045</v>
      </c>
      <c r="K176" s="14"/>
      <c r="L176" s="80"/>
      <c r="M176" s="15" t="s">
        <v>119</v>
      </c>
      <c r="N176" s="88"/>
    </row>
    <row r="177" spans="1:14" ht="31.95" customHeight="1" thickBot="1" x14ac:dyDescent="0.35">
      <c r="A177" s="68">
        <f t="shared" si="2"/>
        <v>176</v>
      </c>
      <c r="B177" s="13" t="s">
        <v>315</v>
      </c>
      <c r="C177" s="13" t="s">
        <v>308</v>
      </c>
      <c r="D177" s="14" t="s">
        <v>79</v>
      </c>
      <c r="E177" s="15" t="s">
        <v>62</v>
      </c>
      <c r="F177" s="15" t="s">
        <v>68</v>
      </c>
      <c r="G177" s="15"/>
      <c r="H177" s="109">
        <v>40</v>
      </c>
      <c r="I177" s="17"/>
      <c r="J177" s="17"/>
      <c r="K177" s="14"/>
      <c r="L177" s="80"/>
      <c r="M177" s="15" t="s">
        <v>119</v>
      </c>
      <c r="N177" s="88"/>
    </row>
    <row r="178" spans="1:14" ht="31.95" customHeight="1" thickBot="1" x14ac:dyDescent="0.35">
      <c r="A178" s="68">
        <f t="shared" si="2"/>
        <v>177</v>
      </c>
      <c r="B178" s="13" t="s">
        <v>316</v>
      </c>
      <c r="C178" s="13" t="s">
        <v>308</v>
      </c>
      <c r="D178" s="14" t="s">
        <v>79</v>
      </c>
      <c r="E178" s="15" t="s">
        <v>71</v>
      </c>
      <c r="F178" s="15" t="s">
        <v>75</v>
      </c>
      <c r="G178" s="15"/>
      <c r="H178" s="109">
        <v>20</v>
      </c>
      <c r="I178" s="17">
        <v>46133</v>
      </c>
      <c r="J178" s="17">
        <v>46142</v>
      </c>
      <c r="K178" s="14"/>
      <c r="L178" s="80"/>
      <c r="M178" s="15" t="s">
        <v>119</v>
      </c>
      <c r="N178" s="88"/>
    </row>
    <row r="179" spans="1:14" ht="31.95" customHeight="1" thickBot="1" x14ac:dyDescent="0.35">
      <c r="A179" s="68">
        <f t="shared" si="2"/>
        <v>178</v>
      </c>
      <c r="B179" s="13" t="s">
        <v>317</v>
      </c>
      <c r="C179" s="13" t="s">
        <v>308</v>
      </c>
      <c r="D179" s="14" t="s">
        <v>79</v>
      </c>
      <c r="E179" s="15" t="s">
        <v>71</v>
      </c>
      <c r="F179" s="15" t="s">
        <v>75</v>
      </c>
      <c r="G179" s="15"/>
      <c r="H179" s="109">
        <v>20</v>
      </c>
      <c r="I179" s="17">
        <v>46084</v>
      </c>
      <c r="J179" s="17">
        <v>46101</v>
      </c>
      <c r="K179" s="14"/>
      <c r="L179" s="80"/>
      <c r="M179" s="15" t="s">
        <v>119</v>
      </c>
      <c r="N179" s="88"/>
    </row>
    <row r="180" spans="1:14" ht="31.95" customHeight="1" thickBot="1" x14ac:dyDescent="0.35">
      <c r="A180" s="68">
        <f t="shared" si="2"/>
        <v>179</v>
      </c>
      <c r="B180" s="22" t="s">
        <v>318</v>
      </c>
      <c r="C180" s="22" t="s">
        <v>308</v>
      </c>
      <c r="D180" s="23" t="s">
        <v>79</v>
      </c>
      <c r="E180" s="24" t="s">
        <v>71</v>
      </c>
      <c r="F180" s="24" t="s">
        <v>75</v>
      </c>
      <c r="G180" s="24"/>
      <c r="H180" s="110">
        <v>10</v>
      </c>
      <c r="I180" s="25">
        <v>46120</v>
      </c>
      <c r="J180" s="25">
        <v>46136</v>
      </c>
      <c r="K180" s="23"/>
      <c r="L180" s="81"/>
      <c r="M180" s="24" t="s">
        <v>119</v>
      </c>
      <c r="N180" s="89"/>
    </row>
    <row r="181" spans="1:14" ht="31.95" customHeight="1" thickBot="1" x14ac:dyDescent="0.35">
      <c r="A181" s="68">
        <f t="shared" si="2"/>
        <v>180</v>
      </c>
      <c r="B181" s="13" t="s">
        <v>319</v>
      </c>
      <c r="C181" s="13" t="s">
        <v>308</v>
      </c>
      <c r="D181" s="14" t="s">
        <v>61</v>
      </c>
      <c r="E181" s="15" t="s">
        <v>71</v>
      </c>
      <c r="F181" s="15" t="s">
        <v>68</v>
      </c>
      <c r="G181" s="15"/>
      <c r="H181" s="109">
        <v>10</v>
      </c>
      <c r="I181" s="17">
        <v>46113</v>
      </c>
      <c r="J181" s="17">
        <v>46122</v>
      </c>
      <c r="K181" s="14"/>
      <c r="L181" s="80"/>
      <c r="M181" s="15" t="s">
        <v>119</v>
      </c>
      <c r="N181" s="88"/>
    </row>
    <row r="182" spans="1:14" ht="31.95" customHeight="1" thickBot="1" x14ac:dyDescent="0.35">
      <c r="A182" s="68">
        <f t="shared" si="2"/>
        <v>181</v>
      </c>
      <c r="B182" s="40" t="s">
        <v>320</v>
      </c>
      <c r="C182" s="40" t="s">
        <v>321</v>
      </c>
      <c r="D182" s="41" t="s">
        <v>118</v>
      </c>
      <c r="E182" s="42" t="s">
        <v>71</v>
      </c>
      <c r="F182" s="43" t="s">
        <v>63</v>
      </c>
      <c r="G182" s="44"/>
      <c r="H182" s="111"/>
      <c r="I182" s="45"/>
      <c r="J182" s="45"/>
      <c r="K182" s="41" t="s">
        <v>322</v>
      </c>
      <c r="L182" s="82"/>
      <c r="M182" s="97" t="s">
        <v>64</v>
      </c>
      <c r="N182" s="90"/>
    </row>
    <row r="183" spans="1:14" ht="31.95" customHeight="1" thickBot="1" x14ac:dyDescent="0.35">
      <c r="A183" s="68">
        <f t="shared" si="2"/>
        <v>182</v>
      </c>
      <c r="B183" s="26" t="s">
        <v>323</v>
      </c>
      <c r="C183" s="26" t="s">
        <v>324</v>
      </c>
      <c r="D183" s="27" t="s">
        <v>118</v>
      </c>
      <c r="E183" s="28" t="s">
        <v>71</v>
      </c>
      <c r="F183" s="29" t="s">
        <v>63</v>
      </c>
      <c r="G183" s="30"/>
      <c r="H183" s="112"/>
      <c r="I183" s="31"/>
      <c r="J183" s="31"/>
      <c r="K183" s="27" t="s">
        <v>322</v>
      </c>
      <c r="L183" s="83"/>
      <c r="M183" s="98" t="s">
        <v>64</v>
      </c>
      <c r="N183" s="91"/>
    </row>
    <row r="184" spans="1:14" ht="31.95" customHeight="1" thickBot="1" x14ac:dyDescent="0.35">
      <c r="A184" s="68">
        <f t="shared" si="2"/>
        <v>183</v>
      </c>
      <c r="B184" s="32" t="s">
        <v>325</v>
      </c>
      <c r="C184" s="32" t="s">
        <v>326</v>
      </c>
      <c r="D184" s="33" t="s">
        <v>118</v>
      </c>
      <c r="E184" s="28" t="s">
        <v>71</v>
      </c>
      <c r="F184" s="29" t="s">
        <v>63</v>
      </c>
      <c r="G184" s="34"/>
      <c r="H184" s="113"/>
      <c r="I184" s="35"/>
      <c r="J184" s="35"/>
      <c r="K184" s="33" t="s">
        <v>327</v>
      </c>
      <c r="L184" s="84" t="s">
        <v>484</v>
      </c>
      <c r="M184" s="98" t="s">
        <v>64</v>
      </c>
      <c r="N184" s="92"/>
    </row>
    <row r="185" spans="1:14" ht="31.95" customHeight="1" thickBot="1" x14ac:dyDescent="0.35">
      <c r="A185" s="68">
        <f t="shared" si="2"/>
        <v>184</v>
      </c>
      <c r="B185" s="26" t="s">
        <v>328</v>
      </c>
      <c r="C185" s="26" t="s">
        <v>329</v>
      </c>
      <c r="D185" s="27" t="s">
        <v>118</v>
      </c>
      <c r="E185" s="28" t="s">
        <v>71</v>
      </c>
      <c r="F185" s="29" t="s">
        <v>63</v>
      </c>
      <c r="G185" s="30"/>
      <c r="H185" s="112"/>
      <c r="I185" s="31"/>
      <c r="J185" s="31"/>
      <c r="K185" s="27" t="s">
        <v>330</v>
      </c>
      <c r="L185" s="83" t="s">
        <v>484</v>
      </c>
      <c r="M185" s="98" t="s">
        <v>64</v>
      </c>
      <c r="N185" s="91"/>
    </row>
    <row r="186" spans="1:14" ht="31.95" customHeight="1" thickBot="1" x14ac:dyDescent="0.35">
      <c r="A186" s="68">
        <f t="shared" si="2"/>
        <v>185</v>
      </c>
      <c r="B186" s="32" t="s">
        <v>331</v>
      </c>
      <c r="C186" s="32" t="s">
        <v>332</v>
      </c>
      <c r="D186" s="33" t="s">
        <v>118</v>
      </c>
      <c r="E186" s="28" t="s">
        <v>71</v>
      </c>
      <c r="F186" s="29" t="s">
        <v>63</v>
      </c>
      <c r="G186" s="34"/>
      <c r="H186" s="113"/>
      <c r="I186" s="35"/>
      <c r="J186" s="35"/>
      <c r="K186" s="33" t="s">
        <v>333</v>
      </c>
      <c r="L186" s="84" t="s">
        <v>484</v>
      </c>
      <c r="M186" s="98" t="s">
        <v>64</v>
      </c>
      <c r="N186" s="92"/>
    </row>
    <row r="187" spans="1:14" ht="31.95" customHeight="1" thickBot="1" x14ac:dyDescent="0.35">
      <c r="A187" s="68">
        <f t="shared" si="2"/>
        <v>186</v>
      </c>
      <c r="B187" s="26" t="s">
        <v>334</v>
      </c>
      <c r="C187" s="26" t="s">
        <v>335</v>
      </c>
      <c r="D187" s="27" t="s">
        <v>118</v>
      </c>
      <c r="E187" s="28" t="s">
        <v>71</v>
      </c>
      <c r="F187" s="29" t="s">
        <v>63</v>
      </c>
      <c r="G187" s="30"/>
      <c r="H187" s="112"/>
      <c r="I187" s="31"/>
      <c r="J187" s="31"/>
      <c r="K187" s="27" t="s">
        <v>336</v>
      </c>
      <c r="L187" s="83"/>
      <c r="M187" s="98" t="s">
        <v>64</v>
      </c>
      <c r="N187" s="91"/>
    </row>
    <row r="188" spans="1:14" ht="31.95" customHeight="1" thickBot="1" x14ac:dyDescent="0.35">
      <c r="A188" s="68">
        <f t="shared" si="2"/>
        <v>187</v>
      </c>
      <c r="B188" s="32" t="s">
        <v>337</v>
      </c>
      <c r="C188" s="32" t="s">
        <v>338</v>
      </c>
      <c r="D188" s="33" t="s">
        <v>118</v>
      </c>
      <c r="E188" s="28" t="s">
        <v>71</v>
      </c>
      <c r="F188" s="29" t="s">
        <v>63</v>
      </c>
      <c r="G188" s="34"/>
      <c r="H188" s="113"/>
      <c r="I188" s="35"/>
      <c r="J188" s="35"/>
      <c r="K188" s="33" t="s">
        <v>339</v>
      </c>
      <c r="L188" s="84" t="s">
        <v>484</v>
      </c>
      <c r="M188" s="98" t="s">
        <v>64</v>
      </c>
      <c r="N188" s="92"/>
    </row>
    <row r="189" spans="1:14" ht="31.95" customHeight="1" thickBot="1" x14ac:dyDescent="0.35">
      <c r="A189" s="68">
        <f t="shared" si="2"/>
        <v>188</v>
      </c>
      <c r="B189" s="26" t="s">
        <v>340</v>
      </c>
      <c r="C189" s="26" t="s">
        <v>341</v>
      </c>
      <c r="D189" s="27" t="s">
        <v>118</v>
      </c>
      <c r="E189" s="28" t="s">
        <v>71</v>
      </c>
      <c r="F189" s="29" t="s">
        <v>63</v>
      </c>
      <c r="G189" s="30"/>
      <c r="H189" s="112"/>
      <c r="I189" s="31"/>
      <c r="J189" s="31"/>
      <c r="K189" s="27" t="s">
        <v>327</v>
      </c>
      <c r="L189" s="83" t="s">
        <v>484</v>
      </c>
      <c r="M189" s="98" t="s">
        <v>64</v>
      </c>
      <c r="N189" s="91"/>
    </row>
    <row r="190" spans="1:14" ht="31.95" customHeight="1" thickBot="1" x14ac:dyDescent="0.35">
      <c r="A190" s="68">
        <f t="shared" si="2"/>
        <v>189</v>
      </c>
      <c r="B190" s="32" t="s">
        <v>342</v>
      </c>
      <c r="C190" s="32" t="s">
        <v>343</v>
      </c>
      <c r="D190" s="33" t="s">
        <v>118</v>
      </c>
      <c r="E190" s="28" t="s">
        <v>71</v>
      </c>
      <c r="F190" s="29" t="s">
        <v>63</v>
      </c>
      <c r="G190" s="34"/>
      <c r="H190" s="113"/>
      <c r="I190" s="35"/>
      <c r="J190" s="35"/>
      <c r="K190" s="33" t="s">
        <v>336</v>
      </c>
      <c r="L190" s="84"/>
      <c r="M190" s="98" t="s">
        <v>64</v>
      </c>
      <c r="N190" s="92"/>
    </row>
    <row r="191" spans="1:14" ht="31.95" customHeight="1" thickBot="1" x14ac:dyDescent="0.35">
      <c r="A191" s="68">
        <f t="shared" si="2"/>
        <v>190</v>
      </c>
      <c r="B191" s="26" t="s">
        <v>344</v>
      </c>
      <c r="C191" s="26" t="s">
        <v>345</v>
      </c>
      <c r="D191" s="27" t="s">
        <v>118</v>
      </c>
      <c r="E191" s="28" t="s">
        <v>71</v>
      </c>
      <c r="F191" s="29" t="s">
        <v>63</v>
      </c>
      <c r="G191" s="30"/>
      <c r="H191" s="112"/>
      <c r="I191" s="31"/>
      <c r="J191" s="31"/>
      <c r="K191" s="27" t="s">
        <v>322</v>
      </c>
      <c r="L191" s="83" t="s">
        <v>485</v>
      </c>
      <c r="M191" s="98" t="s">
        <v>64</v>
      </c>
      <c r="N191" s="91"/>
    </row>
    <row r="192" spans="1:14" ht="31.95" customHeight="1" thickBot="1" x14ac:dyDescent="0.35">
      <c r="A192" s="68">
        <f t="shared" si="2"/>
        <v>191</v>
      </c>
      <c r="B192" s="32" t="s">
        <v>346</v>
      </c>
      <c r="C192" s="32" t="s">
        <v>347</v>
      </c>
      <c r="D192" s="33" t="s">
        <v>118</v>
      </c>
      <c r="E192" s="28" t="s">
        <v>71</v>
      </c>
      <c r="F192" s="29" t="s">
        <v>63</v>
      </c>
      <c r="G192" s="34"/>
      <c r="H192" s="113"/>
      <c r="I192" s="35"/>
      <c r="J192" s="35"/>
      <c r="K192" s="33" t="s">
        <v>333</v>
      </c>
      <c r="L192" s="84" t="s">
        <v>484</v>
      </c>
      <c r="M192" s="98" t="s">
        <v>64</v>
      </c>
      <c r="N192" s="92"/>
    </row>
    <row r="193" spans="1:14" ht="31.95" customHeight="1" thickBot="1" x14ac:dyDescent="0.35">
      <c r="A193" s="68">
        <f t="shared" si="2"/>
        <v>192</v>
      </c>
      <c r="B193" s="26" t="s">
        <v>348</v>
      </c>
      <c r="C193" s="26" t="s">
        <v>349</v>
      </c>
      <c r="D193" s="27" t="s">
        <v>118</v>
      </c>
      <c r="E193" s="28" t="s">
        <v>62</v>
      </c>
      <c r="F193" s="29" t="s">
        <v>63</v>
      </c>
      <c r="G193" s="30"/>
      <c r="H193" s="112"/>
      <c r="I193" s="31"/>
      <c r="J193" s="31"/>
      <c r="K193" s="27" t="s">
        <v>350</v>
      </c>
      <c r="L193" s="83"/>
      <c r="M193" s="98" t="s">
        <v>64</v>
      </c>
      <c r="N193" s="91"/>
    </row>
    <row r="194" spans="1:14" ht="31.95" customHeight="1" thickBot="1" x14ac:dyDescent="0.35">
      <c r="A194" s="68">
        <f t="shared" ref="A194:A237" si="3">IF($B194="","",ROW()-1)</f>
        <v>193</v>
      </c>
      <c r="B194" s="32" t="s">
        <v>351</v>
      </c>
      <c r="C194" s="32" t="s">
        <v>352</v>
      </c>
      <c r="D194" s="33" t="s">
        <v>118</v>
      </c>
      <c r="E194" s="28" t="s">
        <v>62</v>
      </c>
      <c r="F194" s="29" t="s">
        <v>63</v>
      </c>
      <c r="G194" s="34"/>
      <c r="H194" s="113"/>
      <c r="I194" s="35"/>
      <c r="J194" s="35"/>
      <c r="K194" s="33" t="s">
        <v>350</v>
      </c>
      <c r="L194" s="84"/>
      <c r="M194" s="98" t="s">
        <v>64</v>
      </c>
      <c r="N194" s="92"/>
    </row>
    <row r="195" spans="1:14" ht="31.95" customHeight="1" thickBot="1" x14ac:dyDescent="0.35">
      <c r="A195" s="68">
        <f t="shared" si="3"/>
        <v>194</v>
      </c>
      <c r="B195" s="26" t="s">
        <v>353</v>
      </c>
      <c r="C195" s="26" t="s">
        <v>354</v>
      </c>
      <c r="D195" s="27" t="s">
        <v>118</v>
      </c>
      <c r="E195" s="28" t="s">
        <v>71</v>
      </c>
      <c r="F195" s="29" t="s">
        <v>63</v>
      </c>
      <c r="G195" s="30"/>
      <c r="H195" s="112"/>
      <c r="I195" s="31"/>
      <c r="J195" s="31"/>
      <c r="K195" s="27" t="s">
        <v>336</v>
      </c>
      <c r="L195" s="83"/>
      <c r="M195" s="98" t="s">
        <v>64</v>
      </c>
      <c r="N195" s="91"/>
    </row>
    <row r="196" spans="1:14" ht="31.95" customHeight="1" thickBot="1" x14ac:dyDescent="0.35">
      <c r="A196" s="68">
        <f t="shared" si="3"/>
        <v>195</v>
      </c>
      <c r="B196" s="32" t="s">
        <v>355</v>
      </c>
      <c r="C196" s="32" t="s">
        <v>356</v>
      </c>
      <c r="D196" s="33" t="s">
        <v>118</v>
      </c>
      <c r="E196" s="28" t="s">
        <v>71</v>
      </c>
      <c r="F196" s="29" t="s">
        <v>63</v>
      </c>
      <c r="G196" s="34"/>
      <c r="H196" s="113"/>
      <c r="I196" s="35"/>
      <c r="J196" s="35"/>
      <c r="K196" s="33" t="s">
        <v>322</v>
      </c>
      <c r="L196" s="84"/>
      <c r="M196" s="98" t="s">
        <v>64</v>
      </c>
      <c r="N196" s="92"/>
    </row>
    <row r="197" spans="1:14" ht="31.95" customHeight="1" thickBot="1" x14ac:dyDescent="0.35">
      <c r="A197" s="68">
        <f t="shared" si="3"/>
        <v>196</v>
      </c>
      <c r="B197" s="26" t="s">
        <v>357</v>
      </c>
      <c r="C197" s="26" t="s">
        <v>358</v>
      </c>
      <c r="D197" s="27" t="s">
        <v>118</v>
      </c>
      <c r="E197" s="28" t="s">
        <v>62</v>
      </c>
      <c r="F197" s="29" t="s">
        <v>63</v>
      </c>
      <c r="G197" s="30"/>
      <c r="H197" s="112"/>
      <c r="I197" s="31"/>
      <c r="J197" s="31"/>
      <c r="K197" s="27" t="s">
        <v>350</v>
      </c>
      <c r="L197" s="83"/>
      <c r="M197" s="98" t="s">
        <v>64</v>
      </c>
      <c r="N197" s="91"/>
    </row>
    <row r="198" spans="1:14" ht="31.95" customHeight="1" thickBot="1" x14ac:dyDescent="0.35">
      <c r="A198" s="68">
        <f t="shared" si="3"/>
        <v>197</v>
      </c>
      <c r="B198" s="32" t="s">
        <v>359</v>
      </c>
      <c r="C198" s="32" t="s">
        <v>360</v>
      </c>
      <c r="D198" s="33" t="s">
        <v>79</v>
      </c>
      <c r="E198" s="28" t="s">
        <v>62</v>
      </c>
      <c r="F198" s="36" t="s">
        <v>68</v>
      </c>
      <c r="G198" s="34"/>
      <c r="H198" s="113"/>
      <c r="I198" s="35"/>
      <c r="J198" s="35"/>
      <c r="K198" s="33" t="s">
        <v>361</v>
      </c>
      <c r="L198" s="84"/>
      <c r="M198" s="98" t="s">
        <v>64</v>
      </c>
      <c r="N198" s="92"/>
    </row>
    <row r="199" spans="1:14" ht="31.95" customHeight="1" thickBot="1" x14ac:dyDescent="0.35">
      <c r="A199" s="68">
        <f t="shared" si="3"/>
        <v>198</v>
      </c>
      <c r="B199" s="26" t="s">
        <v>362</v>
      </c>
      <c r="C199" s="26" t="s">
        <v>363</v>
      </c>
      <c r="D199" s="27" t="s">
        <v>79</v>
      </c>
      <c r="E199" s="28" t="s">
        <v>62</v>
      </c>
      <c r="F199" s="36" t="s">
        <v>68</v>
      </c>
      <c r="G199" s="30"/>
      <c r="H199" s="112"/>
      <c r="I199" s="31"/>
      <c r="J199" s="31"/>
      <c r="K199" s="27" t="s">
        <v>361</v>
      </c>
      <c r="L199" s="83"/>
      <c r="M199" s="98" t="s">
        <v>64</v>
      </c>
      <c r="N199" s="91"/>
    </row>
    <row r="200" spans="1:14" ht="31.95" customHeight="1" thickBot="1" x14ac:dyDescent="0.35">
      <c r="A200" s="68">
        <f t="shared" si="3"/>
        <v>199</v>
      </c>
      <c r="B200" s="32" t="s">
        <v>364</v>
      </c>
      <c r="C200" s="32" t="s">
        <v>365</v>
      </c>
      <c r="D200" s="33" t="s">
        <v>79</v>
      </c>
      <c r="E200" s="28" t="s">
        <v>71</v>
      </c>
      <c r="F200" s="36" t="s">
        <v>68</v>
      </c>
      <c r="G200" s="34"/>
      <c r="H200" s="113"/>
      <c r="I200" s="35"/>
      <c r="J200" s="35"/>
      <c r="K200" s="33" t="s">
        <v>366</v>
      </c>
      <c r="L200" s="84"/>
      <c r="M200" s="98" t="s">
        <v>64</v>
      </c>
      <c r="N200" s="92"/>
    </row>
    <row r="201" spans="1:14" ht="31.95" customHeight="1" thickBot="1" x14ac:dyDescent="0.35">
      <c r="A201" s="68">
        <f t="shared" si="3"/>
        <v>200</v>
      </c>
      <c r="B201" s="26" t="s">
        <v>367</v>
      </c>
      <c r="C201" s="26" t="s">
        <v>368</v>
      </c>
      <c r="D201" s="27" t="s">
        <v>79</v>
      </c>
      <c r="E201" s="28" t="s">
        <v>71</v>
      </c>
      <c r="F201" s="36" t="s">
        <v>68</v>
      </c>
      <c r="G201" s="30"/>
      <c r="H201" s="112"/>
      <c r="I201" s="31"/>
      <c r="J201" s="31"/>
      <c r="K201" s="27" t="s">
        <v>369</v>
      </c>
      <c r="L201" s="83"/>
      <c r="M201" s="98" t="s">
        <v>64</v>
      </c>
      <c r="N201" s="91"/>
    </row>
    <row r="202" spans="1:14" ht="31.95" customHeight="1" thickBot="1" x14ac:dyDescent="0.35">
      <c r="A202" s="68">
        <f t="shared" si="3"/>
        <v>201</v>
      </c>
      <c r="B202" s="32" t="s">
        <v>370</v>
      </c>
      <c r="C202" s="32" t="s">
        <v>371</v>
      </c>
      <c r="D202" s="33" t="s">
        <v>79</v>
      </c>
      <c r="E202" s="28" t="s">
        <v>71</v>
      </c>
      <c r="F202" s="37" t="s">
        <v>75</v>
      </c>
      <c r="G202" s="34"/>
      <c r="H202" s="113"/>
      <c r="I202" s="35"/>
      <c r="J202" s="35"/>
      <c r="K202" s="33" t="s">
        <v>372</v>
      </c>
      <c r="L202" s="84" t="s">
        <v>483</v>
      </c>
      <c r="M202" s="98" t="s">
        <v>64</v>
      </c>
      <c r="N202" s="92"/>
    </row>
    <row r="203" spans="1:14" ht="31.95" customHeight="1" thickBot="1" x14ac:dyDescent="0.35">
      <c r="A203" s="68">
        <f t="shared" si="3"/>
        <v>202</v>
      </c>
      <c r="B203" s="26" t="s">
        <v>373</v>
      </c>
      <c r="C203" s="26" t="s">
        <v>374</v>
      </c>
      <c r="D203" s="27" t="s">
        <v>375</v>
      </c>
      <c r="E203" s="28" t="s">
        <v>73</v>
      </c>
      <c r="F203" s="36" t="s">
        <v>68</v>
      </c>
      <c r="G203" s="30"/>
      <c r="H203" s="112"/>
      <c r="I203" s="31"/>
      <c r="J203" s="31"/>
      <c r="K203" s="27" t="s">
        <v>376</v>
      </c>
      <c r="L203" s="83"/>
      <c r="M203" s="98" t="s">
        <v>64</v>
      </c>
      <c r="N203" s="91"/>
    </row>
    <row r="204" spans="1:14" ht="31.95" customHeight="1" thickBot="1" x14ac:dyDescent="0.35">
      <c r="A204" s="68">
        <f t="shared" si="3"/>
        <v>203</v>
      </c>
      <c r="B204" s="32" t="s">
        <v>377</v>
      </c>
      <c r="C204" s="32" t="s">
        <v>378</v>
      </c>
      <c r="D204" s="33" t="s">
        <v>375</v>
      </c>
      <c r="E204" s="28" t="s">
        <v>73</v>
      </c>
      <c r="F204" s="36" t="s">
        <v>68</v>
      </c>
      <c r="G204" s="34"/>
      <c r="H204" s="113"/>
      <c r="I204" s="35"/>
      <c r="J204" s="35"/>
      <c r="K204" s="33" t="s">
        <v>376</v>
      </c>
      <c r="L204" s="84"/>
      <c r="M204" s="98" t="s">
        <v>64</v>
      </c>
      <c r="N204" s="92"/>
    </row>
    <row r="205" spans="1:14" ht="31.95" customHeight="1" thickBot="1" x14ac:dyDescent="0.35">
      <c r="A205" s="68">
        <f t="shared" si="3"/>
        <v>204</v>
      </c>
      <c r="B205" s="26" t="s">
        <v>379</v>
      </c>
      <c r="C205" s="26" t="s">
        <v>380</v>
      </c>
      <c r="D205" s="27" t="s">
        <v>375</v>
      </c>
      <c r="E205" s="28" t="s">
        <v>73</v>
      </c>
      <c r="F205" s="36" t="s">
        <v>68</v>
      </c>
      <c r="G205" s="30"/>
      <c r="H205" s="112"/>
      <c r="I205" s="31"/>
      <c r="J205" s="31"/>
      <c r="K205" s="27" t="s">
        <v>381</v>
      </c>
      <c r="L205" s="83"/>
      <c r="M205" s="98" t="s">
        <v>64</v>
      </c>
      <c r="N205" s="91"/>
    </row>
    <row r="206" spans="1:14" ht="31.95" customHeight="1" thickBot="1" x14ac:dyDescent="0.35">
      <c r="A206" s="68">
        <f t="shared" si="3"/>
        <v>205</v>
      </c>
      <c r="B206" s="32" t="s">
        <v>382</v>
      </c>
      <c r="C206" s="32" t="s">
        <v>383</v>
      </c>
      <c r="D206" s="33" t="s">
        <v>79</v>
      </c>
      <c r="E206" s="28" t="s">
        <v>62</v>
      </c>
      <c r="F206" s="37" t="s">
        <v>75</v>
      </c>
      <c r="G206" s="34"/>
      <c r="H206" s="113"/>
      <c r="I206" s="35"/>
      <c r="J206" s="35"/>
      <c r="K206" s="33" t="s">
        <v>384</v>
      </c>
      <c r="L206" s="84"/>
      <c r="M206" s="98" t="s">
        <v>64</v>
      </c>
      <c r="N206" s="92"/>
    </row>
    <row r="207" spans="1:14" ht="31.95" customHeight="1" thickBot="1" x14ac:dyDescent="0.35">
      <c r="A207" s="68">
        <f t="shared" si="3"/>
        <v>206</v>
      </c>
      <c r="B207" s="26" t="s">
        <v>385</v>
      </c>
      <c r="C207" s="26" t="s">
        <v>386</v>
      </c>
      <c r="D207" s="27" t="s">
        <v>79</v>
      </c>
      <c r="E207" s="28" t="s">
        <v>62</v>
      </c>
      <c r="F207" s="37" t="s">
        <v>75</v>
      </c>
      <c r="G207" s="30"/>
      <c r="H207" s="112"/>
      <c r="I207" s="31"/>
      <c r="J207" s="31"/>
      <c r="K207" s="27" t="s">
        <v>376</v>
      </c>
      <c r="L207" s="83"/>
      <c r="M207" s="98" t="s">
        <v>64</v>
      </c>
      <c r="N207" s="91"/>
    </row>
    <row r="208" spans="1:14" ht="31.95" customHeight="1" thickBot="1" x14ac:dyDescent="0.35">
      <c r="A208" s="68">
        <f t="shared" si="3"/>
        <v>207</v>
      </c>
      <c r="B208" s="32" t="s">
        <v>387</v>
      </c>
      <c r="C208" s="32" t="s">
        <v>388</v>
      </c>
      <c r="D208" s="33" t="s">
        <v>79</v>
      </c>
      <c r="E208" s="28" t="s">
        <v>62</v>
      </c>
      <c r="F208" s="37" t="s">
        <v>75</v>
      </c>
      <c r="G208" s="34"/>
      <c r="H208" s="113"/>
      <c r="I208" s="35"/>
      <c r="J208" s="35"/>
      <c r="K208" s="33" t="s">
        <v>376</v>
      </c>
      <c r="L208" s="84"/>
      <c r="M208" s="98" t="s">
        <v>64</v>
      </c>
      <c r="N208" s="92"/>
    </row>
    <row r="209" spans="1:14" ht="31.95" customHeight="1" thickBot="1" x14ac:dyDescent="0.35">
      <c r="A209" s="68">
        <f t="shared" si="3"/>
        <v>208</v>
      </c>
      <c r="B209" s="26" t="s">
        <v>389</v>
      </c>
      <c r="C209" s="26" t="s">
        <v>390</v>
      </c>
      <c r="D209" s="27" t="s">
        <v>61</v>
      </c>
      <c r="E209" s="28" t="s">
        <v>62</v>
      </c>
      <c r="F209" s="36" t="s">
        <v>68</v>
      </c>
      <c r="G209" s="30"/>
      <c r="H209" s="112"/>
      <c r="I209" s="31"/>
      <c r="J209" s="31"/>
      <c r="K209" s="27" t="s">
        <v>391</v>
      </c>
      <c r="L209" s="83"/>
      <c r="M209" s="98" t="s">
        <v>64</v>
      </c>
      <c r="N209" s="91"/>
    </row>
    <row r="210" spans="1:14" ht="31.95" customHeight="1" thickBot="1" x14ac:dyDescent="0.35">
      <c r="A210" s="68">
        <f t="shared" si="3"/>
        <v>209</v>
      </c>
      <c r="B210" s="32" t="s">
        <v>392</v>
      </c>
      <c r="C210" s="32" t="s">
        <v>393</v>
      </c>
      <c r="D210" s="33" t="s">
        <v>61</v>
      </c>
      <c r="E210" s="28" t="s">
        <v>62</v>
      </c>
      <c r="F210" s="36" t="s">
        <v>68</v>
      </c>
      <c r="G210" s="34"/>
      <c r="H210" s="113"/>
      <c r="I210" s="35"/>
      <c r="J210" s="35"/>
      <c r="K210" s="33" t="s">
        <v>391</v>
      </c>
      <c r="L210" s="84"/>
      <c r="M210" s="98" t="s">
        <v>64</v>
      </c>
      <c r="N210" s="92"/>
    </row>
    <row r="211" spans="1:14" ht="31.95" customHeight="1" thickBot="1" x14ac:dyDescent="0.35">
      <c r="A211" s="68">
        <f t="shared" si="3"/>
        <v>210</v>
      </c>
      <c r="B211" s="26" t="s">
        <v>394</v>
      </c>
      <c r="C211" s="26" t="s">
        <v>395</v>
      </c>
      <c r="D211" s="27" t="s">
        <v>89</v>
      </c>
      <c r="E211" s="28" t="s">
        <v>62</v>
      </c>
      <c r="F211" s="37" t="s">
        <v>75</v>
      </c>
      <c r="G211" s="30"/>
      <c r="H211" s="112"/>
      <c r="I211" s="31"/>
      <c r="J211" s="31"/>
      <c r="K211" s="27" t="s">
        <v>376</v>
      </c>
      <c r="L211" s="83"/>
      <c r="M211" s="98" t="s">
        <v>64</v>
      </c>
      <c r="N211" s="91"/>
    </row>
    <row r="212" spans="1:14" ht="31.95" customHeight="1" thickBot="1" x14ac:dyDescent="0.35">
      <c r="A212" s="68">
        <f t="shared" si="3"/>
        <v>211</v>
      </c>
      <c r="B212" s="32" t="s">
        <v>396</v>
      </c>
      <c r="C212" s="32" t="s">
        <v>397</v>
      </c>
      <c r="D212" s="33" t="s">
        <v>89</v>
      </c>
      <c r="E212" s="28" t="s">
        <v>62</v>
      </c>
      <c r="F212" s="37" t="s">
        <v>75</v>
      </c>
      <c r="G212" s="34"/>
      <c r="H212" s="113"/>
      <c r="I212" s="35"/>
      <c r="J212" s="35"/>
      <c r="K212" s="33" t="s">
        <v>350</v>
      </c>
      <c r="L212" s="84"/>
      <c r="M212" s="98" t="s">
        <v>64</v>
      </c>
      <c r="N212" s="92"/>
    </row>
    <row r="213" spans="1:14" ht="31.95" customHeight="1" thickBot="1" x14ac:dyDescent="0.35">
      <c r="A213" s="68">
        <f t="shared" si="3"/>
        <v>212</v>
      </c>
      <c r="B213" s="26" t="s">
        <v>398</v>
      </c>
      <c r="C213" s="26" t="s">
        <v>399</v>
      </c>
      <c r="D213" s="27" t="s">
        <v>79</v>
      </c>
      <c r="E213" s="28" t="s">
        <v>62</v>
      </c>
      <c r="F213" s="37" t="s">
        <v>75</v>
      </c>
      <c r="G213" s="30"/>
      <c r="H213" s="112"/>
      <c r="I213" s="31"/>
      <c r="J213" s="31"/>
      <c r="K213" s="27" t="s">
        <v>400</v>
      </c>
      <c r="L213" s="83" t="s">
        <v>482</v>
      </c>
      <c r="M213" s="98" t="s">
        <v>64</v>
      </c>
      <c r="N213" s="91"/>
    </row>
    <row r="214" spans="1:14" ht="31.95" customHeight="1" thickBot="1" x14ac:dyDescent="0.35">
      <c r="A214" s="68">
        <f t="shared" si="3"/>
        <v>213</v>
      </c>
      <c r="B214" s="32" t="s">
        <v>401</v>
      </c>
      <c r="C214" s="32" t="s">
        <v>402</v>
      </c>
      <c r="D214" s="33" t="s">
        <v>61</v>
      </c>
      <c r="E214" s="28" t="s">
        <v>71</v>
      </c>
      <c r="F214" s="37" t="s">
        <v>75</v>
      </c>
      <c r="G214" s="34"/>
      <c r="H214" s="113"/>
      <c r="I214" s="35"/>
      <c r="J214" s="35"/>
      <c r="K214" s="33" t="s">
        <v>322</v>
      </c>
      <c r="L214" s="84"/>
      <c r="M214" s="98" t="s">
        <v>64</v>
      </c>
      <c r="N214" s="92"/>
    </row>
    <row r="215" spans="1:14" ht="31.95" customHeight="1" thickBot="1" x14ac:dyDescent="0.35">
      <c r="A215" s="68">
        <f t="shared" si="3"/>
        <v>214</v>
      </c>
      <c r="B215" s="26" t="s">
        <v>403</v>
      </c>
      <c r="C215" s="26" t="s">
        <v>404</v>
      </c>
      <c r="D215" s="27" t="s">
        <v>79</v>
      </c>
      <c r="E215" s="28" t="s">
        <v>62</v>
      </c>
      <c r="F215" s="37" t="s">
        <v>75</v>
      </c>
      <c r="G215" s="30"/>
      <c r="H215" s="112"/>
      <c r="I215" s="31"/>
      <c r="J215" s="31"/>
      <c r="K215" s="27" t="s">
        <v>405</v>
      </c>
      <c r="L215" s="83"/>
      <c r="M215" s="98" t="s">
        <v>64</v>
      </c>
      <c r="N215" s="91"/>
    </row>
    <row r="216" spans="1:14" ht="31.95" customHeight="1" thickBot="1" x14ac:dyDescent="0.35">
      <c r="A216" s="68">
        <f t="shared" si="3"/>
        <v>215</v>
      </c>
      <c r="B216" s="32" t="s">
        <v>406</v>
      </c>
      <c r="C216" s="32" t="s">
        <v>407</v>
      </c>
      <c r="D216" s="33" t="s">
        <v>79</v>
      </c>
      <c r="E216" s="28" t="s">
        <v>62</v>
      </c>
      <c r="F216" s="29" t="s">
        <v>63</v>
      </c>
      <c r="G216" s="34"/>
      <c r="H216" s="113"/>
      <c r="I216" s="35"/>
      <c r="J216" s="35"/>
      <c r="K216" s="33" t="s">
        <v>336</v>
      </c>
      <c r="L216" s="84"/>
      <c r="M216" s="98" t="s">
        <v>64</v>
      </c>
      <c r="N216" s="92"/>
    </row>
    <row r="217" spans="1:14" ht="31.95" customHeight="1" thickBot="1" x14ac:dyDescent="0.35">
      <c r="A217" s="68">
        <f t="shared" si="3"/>
        <v>216</v>
      </c>
      <c r="B217" s="26" t="s">
        <v>408</v>
      </c>
      <c r="C217" s="26" t="s">
        <v>409</v>
      </c>
      <c r="D217" s="27" t="s">
        <v>79</v>
      </c>
      <c r="E217" s="28" t="s">
        <v>71</v>
      </c>
      <c r="F217" s="29" t="s">
        <v>63</v>
      </c>
      <c r="G217" s="30"/>
      <c r="H217" s="112"/>
      <c r="I217" s="31"/>
      <c r="J217" s="31"/>
      <c r="K217" s="27" t="s">
        <v>350</v>
      </c>
      <c r="L217" s="83"/>
      <c r="M217" s="98" t="s">
        <v>64</v>
      </c>
      <c r="N217" s="91"/>
    </row>
    <row r="218" spans="1:14" ht="31.95" customHeight="1" thickBot="1" x14ac:dyDescent="0.35">
      <c r="A218" s="68">
        <f t="shared" si="3"/>
        <v>217</v>
      </c>
      <c r="B218" s="32" t="s">
        <v>410</v>
      </c>
      <c r="C218" s="32" t="s">
        <v>411</v>
      </c>
      <c r="D218" s="33" t="s">
        <v>79</v>
      </c>
      <c r="E218" s="28" t="s">
        <v>62</v>
      </c>
      <c r="F218" s="29" t="s">
        <v>63</v>
      </c>
      <c r="G218" s="34"/>
      <c r="H218" s="113"/>
      <c r="I218" s="35"/>
      <c r="J218" s="35"/>
      <c r="K218" s="33" t="s">
        <v>336</v>
      </c>
      <c r="L218" s="84"/>
      <c r="M218" s="98" t="s">
        <v>64</v>
      </c>
      <c r="N218" s="92"/>
    </row>
    <row r="219" spans="1:14" ht="31.95" customHeight="1" thickBot="1" x14ac:dyDescent="0.35">
      <c r="A219" s="68">
        <f t="shared" si="3"/>
        <v>218</v>
      </c>
      <c r="B219" s="26" t="s">
        <v>412</v>
      </c>
      <c r="C219" s="26" t="s">
        <v>413</v>
      </c>
      <c r="D219" s="27" t="s">
        <v>79</v>
      </c>
      <c r="E219" s="28" t="s">
        <v>71</v>
      </c>
      <c r="F219" s="29" t="s">
        <v>63</v>
      </c>
      <c r="G219" s="30"/>
      <c r="H219" s="112"/>
      <c r="I219" s="31"/>
      <c r="J219" s="31"/>
      <c r="K219" s="27" t="s">
        <v>336</v>
      </c>
      <c r="L219" s="83"/>
      <c r="M219" s="98" t="s">
        <v>64</v>
      </c>
      <c r="N219" s="91"/>
    </row>
    <row r="220" spans="1:14" ht="31.95" customHeight="1" thickBot="1" x14ac:dyDescent="0.35">
      <c r="A220" s="68">
        <f t="shared" si="3"/>
        <v>219</v>
      </c>
      <c r="B220" s="32" t="s">
        <v>414</v>
      </c>
      <c r="C220" s="32" t="s">
        <v>415</v>
      </c>
      <c r="D220" s="33" t="s">
        <v>79</v>
      </c>
      <c r="E220" s="28" t="s">
        <v>71</v>
      </c>
      <c r="F220" s="37" t="s">
        <v>75</v>
      </c>
      <c r="G220" s="34"/>
      <c r="H220" s="113"/>
      <c r="I220" s="35"/>
      <c r="J220" s="35"/>
      <c r="K220" s="33" t="s">
        <v>336</v>
      </c>
      <c r="L220" s="84"/>
      <c r="M220" s="98" t="s">
        <v>64</v>
      </c>
      <c r="N220" s="92"/>
    </row>
    <row r="221" spans="1:14" ht="31.95" customHeight="1" thickBot="1" x14ac:dyDescent="0.35">
      <c r="A221" s="68">
        <f t="shared" si="3"/>
        <v>220</v>
      </c>
      <c r="B221" s="26" t="s">
        <v>416</v>
      </c>
      <c r="C221" s="26" t="s">
        <v>417</v>
      </c>
      <c r="D221" s="27" t="s">
        <v>79</v>
      </c>
      <c r="E221" s="28" t="s">
        <v>71</v>
      </c>
      <c r="F221" s="37" t="s">
        <v>75</v>
      </c>
      <c r="G221" s="30"/>
      <c r="H221" s="112"/>
      <c r="I221" s="31"/>
      <c r="J221" s="31"/>
      <c r="K221" s="27" t="s">
        <v>336</v>
      </c>
      <c r="L221" s="83"/>
      <c r="M221" s="98" t="s">
        <v>64</v>
      </c>
      <c r="N221" s="91"/>
    </row>
    <row r="222" spans="1:14" ht="31.95" customHeight="1" thickBot="1" x14ac:dyDescent="0.35">
      <c r="A222" s="68">
        <f t="shared" si="3"/>
        <v>221</v>
      </c>
      <c r="B222" s="32" t="s">
        <v>418</v>
      </c>
      <c r="C222" s="32" t="s">
        <v>419</v>
      </c>
      <c r="D222" s="33" t="s">
        <v>79</v>
      </c>
      <c r="E222" s="28" t="s">
        <v>71</v>
      </c>
      <c r="F222" s="37" t="s">
        <v>75</v>
      </c>
      <c r="G222" s="34"/>
      <c r="H222" s="113"/>
      <c r="I222" s="35"/>
      <c r="J222" s="35"/>
      <c r="K222" s="33" t="s">
        <v>420</v>
      </c>
      <c r="L222" s="84"/>
      <c r="M222" s="98" t="s">
        <v>64</v>
      </c>
      <c r="N222" s="92"/>
    </row>
    <row r="223" spans="1:14" ht="31.95" customHeight="1" thickBot="1" x14ac:dyDescent="0.35">
      <c r="A223" s="68">
        <f t="shared" si="3"/>
        <v>222</v>
      </c>
      <c r="B223" s="26" t="s">
        <v>421</v>
      </c>
      <c r="C223" s="26" t="s">
        <v>422</v>
      </c>
      <c r="D223" s="27"/>
      <c r="E223" s="28" t="s">
        <v>62</v>
      </c>
      <c r="F223" s="29" t="s">
        <v>63</v>
      </c>
      <c r="G223" s="30"/>
      <c r="H223" s="112"/>
      <c r="I223" s="31"/>
      <c r="J223" s="31"/>
      <c r="K223" s="27" t="s">
        <v>423</v>
      </c>
      <c r="L223" s="83"/>
      <c r="M223" s="98" t="s">
        <v>64</v>
      </c>
      <c r="N223" s="91"/>
    </row>
    <row r="224" spans="1:14" ht="31.95" customHeight="1" thickBot="1" x14ac:dyDescent="0.35">
      <c r="A224" s="68">
        <f t="shared" si="3"/>
        <v>223</v>
      </c>
      <c r="B224" s="32" t="s">
        <v>424</v>
      </c>
      <c r="C224" s="32" t="s">
        <v>425</v>
      </c>
      <c r="D224" s="33" t="s">
        <v>61</v>
      </c>
      <c r="E224" s="28" t="s">
        <v>62</v>
      </c>
      <c r="F224" s="29" t="s">
        <v>63</v>
      </c>
      <c r="G224" s="34"/>
      <c r="H224" s="113"/>
      <c r="I224" s="35"/>
      <c r="J224" s="35"/>
      <c r="K224" s="33" t="s">
        <v>426</v>
      </c>
      <c r="L224" s="84"/>
      <c r="M224" s="98" t="s">
        <v>64</v>
      </c>
      <c r="N224" s="92"/>
    </row>
    <row r="225" spans="1:14" ht="31.95" customHeight="1" thickBot="1" x14ac:dyDescent="0.35">
      <c r="A225" s="68">
        <f t="shared" si="3"/>
        <v>224</v>
      </c>
      <c r="B225" s="26" t="s">
        <v>427</v>
      </c>
      <c r="C225" s="26" t="s">
        <v>428</v>
      </c>
      <c r="D225" s="27" t="s">
        <v>61</v>
      </c>
      <c r="E225" s="28" t="s">
        <v>62</v>
      </c>
      <c r="F225" s="29" t="s">
        <v>63</v>
      </c>
      <c r="G225" s="30"/>
      <c r="H225" s="112"/>
      <c r="I225" s="31"/>
      <c r="J225" s="31"/>
      <c r="K225" s="27" t="s">
        <v>426</v>
      </c>
      <c r="L225" s="83"/>
      <c r="M225" s="98" t="s">
        <v>64</v>
      </c>
      <c r="N225" s="91"/>
    </row>
    <row r="226" spans="1:14" ht="31.95" customHeight="1" thickBot="1" x14ac:dyDescent="0.35">
      <c r="A226" s="68">
        <f t="shared" si="3"/>
        <v>225</v>
      </c>
      <c r="B226" s="32" t="s">
        <v>429</v>
      </c>
      <c r="C226" s="32" t="s">
        <v>430</v>
      </c>
      <c r="D226" s="33" t="s">
        <v>61</v>
      </c>
      <c r="E226" s="38" t="s">
        <v>71</v>
      </c>
      <c r="F226" s="36" t="s">
        <v>68</v>
      </c>
      <c r="G226" s="34"/>
      <c r="H226" s="113"/>
      <c r="I226" s="35"/>
      <c r="J226" s="35"/>
      <c r="K226" s="33" t="s">
        <v>431</v>
      </c>
      <c r="L226" s="84" t="s">
        <v>432</v>
      </c>
      <c r="M226" s="98" t="s">
        <v>64</v>
      </c>
      <c r="N226" s="92"/>
    </row>
    <row r="227" spans="1:14" ht="31.95" customHeight="1" thickBot="1" x14ac:dyDescent="0.35">
      <c r="A227" s="68">
        <f t="shared" si="3"/>
        <v>226</v>
      </c>
      <c r="B227" s="26" t="s">
        <v>433</v>
      </c>
      <c r="C227" s="26" t="s">
        <v>434</v>
      </c>
      <c r="D227" s="27" t="s">
        <v>61</v>
      </c>
      <c r="E227" s="38" t="s">
        <v>71</v>
      </c>
      <c r="F227" s="36" t="s">
        <v>68</v>
      </c>
      <c r="G227" s="30"/>
      <c r="H227" s="112"/>
      <c r="I227" s="31"/>
      <c r="J227" s="31"/>
      <c r="K227" s="27" t="s">
        <v>435</v>
      </c>
      <c r="L227" s="83" t="s">
        <v>432</v>
      </c>
      <c r="M227" s="98" t="s">
        <v>64</v>
      </c>
      <c r="N227" s="91"/>
    </row>
    <row r="228" spans="1:14" ht="31.95" customHeight="1" thickBot="1" x14ac:dyDescent="0.35">
      <c r="A228" s="68">
        <f t="shared" si="3"/>
        <v>227</v>
      </c>
      <c r="B228" s="32" t="s">
        <v>436</v>
      </c>
      <c r="C228" s="32" t="s">
        <v>437</v>
      </c>
      <c r="D228" s="33" t="s">
        <v>89</v>
      </c>
      <c r="E228" s="28" t="s">
        <v>73</v>
      </c>
      <c r="F228" s="29" t="s">
        <v>63</v>
      </c>
      <c r="G228" s="34"/>
      <c r="H228" s="113"/>
      <c r="I228" s="35"/>
      <c r="J228" s="35"/>
      <c r="K228" s="33" t="s">
        <v>438</v>
      </c>
      <c r="L228" s="84" t="s">
        <v>481</v>
      </c>
      <c r="M228" s="98" t="s">
        <v>64</v>
      </c>
      <c r="N228" s="92"/>
    </row>
    <row r="229" spans="1:14" ht="31.95" customHeight="1" thickBot="1" x14ac:dyDescent="0.35">
      <c r="A229" s="68">
        <f t="shared" si="3"/>
        <v>228</v>
      </c>
      <c r="B229" s="26" t="s">
        <v>439</v>
      </c>
      <c r="C229" s="26" t="s">
        <v>440</v>
      </c>
      <c r="D229" s="27" t="s">
        <v>89</v>
      </c>
      <c r="E229" s="28" t="s">
        <v>73</v>
      </c>
      <c r="F229" s="29" t="s">
        <v>63</v>
      </c>
      <c r="G229" s="30"/>
      <c r="H229" s="112"/>
      <c r="I229" s="31"/>
      <c r="J229" s="31"/>
      <c r="K229" s="27" t="s">
        <v>441</v>
      </c>
      <c r="L229" s="83" t="s">
        <v>480</v>
      </c>
      <c r="M229" s="98" t="s">
        <v>64</v>
      </c>
      <c r="N229" s="91"/>
    </row>
    <row r="230" spans="1:14" ht="31.95" customHeight="1" thickBot="1" x14ac:dyDescent="0.35">
      <c r="A230" s="68">
        <f t="shared" si="3"/>
        <v>229</v>
      </c>
      <c r="B230" s="32" t="s">
        <v>442</v>
      </c>
      <c r="C230" s="32" t="s">
        <v>443</v>
      </c>
      <c r="D230" s="33" t="s">
        <v>89</v>
      </c>
      <c r="E230" s="28" t="s">
        <v>71</v>
      </c>
      <c r="F230" s="29" t="s">
        <v>63</v>
      </c>
      <c r="G230" s="34"/>
      <c r="H230" s="113"/>
      <c r="I230" s="35"/>
      <c r="J230" s="35"/>
      <c r="K230" s="33" t="s">
        <v>444</v>
      </c>
      <c r="L230" s="84" t="s">
        <v>445</v>
      </c>
      <c r="M230" s="98" t="s">
        <v>64</v>
      </c>
      <c r="N230" s="92"/>
    </row>
    <row r="231" spans="1:14" ht="31.95" customHeight="1" thickBot="1" x14ac:dyDescent="0.35">
      <c r="A231" s="68">
        <f t="shared" si="3"/>
        <v>230</v>
      </c>
      <c r="B231" s="26" t="s">
        <v>446</v>
      </c>
      <c r="C231" s="26" t="s">
        <v>447</v>
      </c>
      <c r="D231" s="27" t="s">
        <v>89</v>
      </c>
      <c r="E231" s="28" t="s">
        <v>62</v>
      </c>
      <c r="F231" s="29" t="s">
        <v>63</v>
      </c>
      <c r="G231" s="30"/>
      <c r="H231" s="112"/>
      <c r="I231" s="31"/>
      <c r="J231" s="31"/>
      <c r="K231" s="27" t="s">
        <v>444</v>
      </c>
      <c r="L231" s="83" t="s">
        <v>448</v>
      </c>
      <c r="M231" s="98" t="s">
        <v>64</v>
      </c>
      <c r="N231" s="91"/>
    </row>
    <row r="232" spans="1:14" ht="31.95" customHeight="1" thickBot="1" x14ac:dyDescent="0.35">
      <c r="A232" s="68">
        <f t="shared" si="3"/>
        <v>231</v>
      </c>
      <c r="B232" s="32" t="s">
        <v>449</v>
      </c>
      <c r="C232" s="32" t="s">
        <v>450</v>
      </c>
      <c r="D232" s="33" t="s">
        <v>89</v>
      </c>
      <c r="E232" s="39" t="s">
        <v>73</v>
      </c>
      <c r="F232" s="29" t="s">
        <v>63</v>
      </c>
      <c r="G232" s="34"/>
      <c r="H232" s="113"/>
      <c r="I232" s="35"/>
      <c r="J232" s="35"/>
      <c r="K232" s="33" t="s">
        <v>451</v>
      </c>
      <c r="L232" s="84" t="s">
        <v>73</v>
      </c>
      <c r="M232" s="98" t="s">
        <v>64</v>
      </c>
      <c r="N232" s="92"/>
    </row>
    <row r="233" spans="1:14" ht="31.95" customHeight="1" thickBot="1" x14ac:dyDescent="0.35">
      <c r="A233" s="68">
        <f t="shared" si="3"/>
        <v>232</v>
      </c>
      <c r="B233" s="46" t="s">
        <v>452</v>
      </c>
      <c r="C233" s="46" t="s">
        <v>453</v>
      </c>
      <c r="D233" s="47" t="s">
        <v>89</v>
      </c>
      <c r="E233" s="48" t="s">
        <v>73</v>
      </c>
      <c r="F233" s="49" t="s">
        <v>63</v>
      </c>
      <c r="G233" s="50"/>
      <c r="H233" s="114"/>
      <c r="I233" s="51"/>
      <c r="J233" s="51"/>
      <c r="K233" s="47" t="s">
        <v>451</v>
      </c>
      <c r="L233" s="85"/>
      <c r="M233" s="99" t="s">
        <v>64</v>
      </c>
      <c r="N233" s="93"/>
    </row>
    <row r="234" spans="1:14" ht="15" thickBot="1" x14ac:dyDescent="0.35">
      <c r="A234" s="68">
        <f t="shared" si="3"/>
        <v>233</v>
      </c>
      <c r="B234" s="52" t="s">
        <v>454</v>
      </c>
      <c r="C234" s="52" t="s">
        <v>455</v>
      </c>
      <c r="D234" s="53" t="s">
        <v>89</v>
      </c>
      <c r="E234" s="54" t="s">
        <v>71</v>
      </c>
      <c r="F234" s="55" t="s">
        <v>63</v>
      </c>
      <c r="G234" s="56"/>
      <c r="H234" s="115">
        <v>10</v>
      </c>
      <c r="I234" s="57">
        <v>46202</v>
      </c>
      <c r="J234" s="57">
        <v>46203</v>
      </c>
      <c r="K234" s="53"/>
      <c r="L234" s="86"/>
      <c r="M234" s="100" t="s">
        <v>64</v>
      </c>
      <c r="N234" s="94"/>
    </row>
    <row r="235" spans="1:14" ht="15" thickBot="1" x14ac:dyDescent="0.35">
      <c r="A235" s="68">
        <f t="shared" si="3"/>
        <v>234</v>
      </c>
      <c r="B235" s="58" t="s">
        <v>456</v>
      </c>
      <c r="C235" s="58" t="s">
        <v>457</v>
      </c>
      <c r="D235" s="59" t="s">
        <v>458</v>
      </c>
      <c r="E235" s="60" t="s">
        <v>73</v>
      </c>
      <c r="F235" s="61" t="s">
        <v>75</v>
      </c>
      <c r="G235" s="62"/>
      <c r="H235" s="116"/>
      <c r="I235" s="63"/>
      <c r="J235" s="63"/>
      <c r="K235" s="59" t="s">
        <v>459</v>
      </c>
      <c r="L235" s="70" t="s">
        <v>73</v>
      </c>
      <c r="M235" s="101" t="s">
        <v>64</v>
      </c>
      <c r="N235" s="95"/>
    </row>
    <row r="236" spans="1:14" ht="15" thickBot="1" x14ac:dyDescent="0.35">
      <c r="A236" s="68">
        <f t="shared" si="3"/>
        <v>235</v>
      </c>
      <c r="B236" s="64" t="s">
        <v>460</v>
      </c>
      <c r="C236" s="64" t="s">
        <v>461</v>
      </c>
      <c r="D236" s="65" t="s">
        <v>458</v>
      </c>
      <c r="E236" s="60" t="s">
        <v>73</v>
      </c>
      <c r="F236" s="61" t="s">
        <v>75</v>
      </c>
      <c r="G236" s="66"/>
      <c r="H236" s="117"/>
      <c r="I236" s="67"/>
      <c r="J236" s="67"/>
      <c r="K236" s="65" t="s">
        <v>462</v>
      </c>
      <c r="L236" s="74" t="s">
        <v>492</v>
      </c>
      <c r="M236" s="101"/>
      <c r="N236" s="96"/>
    </row>
    <row r="237" spans="1:14" ht="15" thickBot="1" x14ac:dyDescent="0.35">
      <c r="A237" s="68">
        <f t="shared" si="3"/>
        <v>236</v>
      </c>
      <c r="B237" s="58" t="s">
        <v>463</v>
      </c>
      <c r="C237" s="58" t="s">
        <v>464</v>
      </c>
      <c r="D237" s="70" t="s">
        <v>458</v>
      </c>
      <c r="E237" s="75" t="s">
        <v>73</v>
      </c>
      <c r="F237" s="61" t="s">
        <v>75</v>
      </c>
      <c r="G237" s="72"/>
      <c r="H237" s="116"/>
      <c r="I237" s="63"/>
      <c r="J237" s="63"/>
      <c r="K237" s="59" t="s">
        <v>462</v>
      </c>
      <c r="L237" s="70" t="s">
        <v>492</v>
      </c>
      <c r="M237" s="101"/>
      <c r="N237" s="95"/>
    </row>
    <row r="238" spans="1:14" ht="15" thickBot="1" x14ac:dyDescent="0.35">
      <c r="A238" s="68">
        <v>237</v>
      </c>
      <c r="B238" s="64" t="s">
        <v>468</v>
      </c>
      <c r="C238" s="64" t="s">
        <v>469</v>
      </c>
      <c r="D238" s="74" t="s">
        <v>79</v>
      </c>
      <c r="E238" s="75" t="s">
        <v>73</v>
      </c>
      <c r="F238" s="77" t="s">
        <v>68</v>
      </c>
      <c r="G238" s="76"/>
      <c r="H238" s="117">
        <v>10</v>
      </c>
      <c r="I238" s="67">
        <v>46206</v>
      </c>
      <c r="J238" s="67">
        <v>46209</v>
      </c>
      <c r="K238" s="65"/>
      <c r="L238" s="74"/>
      <c r="M238" s="101" t="s">
        <v>240</v>
      </c>
      <c r="N238" s="96"/>
    </row>
    <row r="239" spans="1:14" ht="15" thickBot="1" x14ac:dyDescent="0.35">
      <c r="A239" s="68">
        <v>238</v>
      </c>
      <c r="B239" s="58" t="s">
        <v>470</v>
      </c>
      <c r="C239" s="58" t="s">
        <v>471</v>
      </c>
      <c r="D239" s="70" t="s">
        <v>79</v>
      </c>
      <c r="E239" s="75" t="s">
        <v>73</v>
      </c>
      <c r="F239" s="61" t="s">
        <v>63</v>
      </c>
      <c r="G239" s="72"/>
      <c r="H239" s="116"/>
      <c r="I239" s="63"/>
      <c r="J239" s="63">
        <v>46210</v>
      </c>
      <c r="K239" s="59"/>
      <c r="L239" s="70"/>
      <c r="M239" s="101" t="s">
        <v>240</v>
      </c>
      <c r="N239" s="95"/>
    </row>
    <row r="240" spans="1:14" ht="15" thickBot="1" x14ac:dyDescent="0.35">
      <c r="A240" s="68">
        <v>239</v>
      </c>
      <c r="B240" s="64" t="s">
        <v>472</v>
      </c>
      <c r="C240" s="64" t="s">
        <v>473</v>
      </c>
      <c r="D240" s="74" t="s">
        <v>89</v>
      </c>
      <c r="E240" s="71" t="s">
        <v>73</v>
      </c>
      <c r="F240" s="73" t="s">
        <v>68</v>
      </c>
      <c r="G240" s="76"/>
      <c r="H240" s="109">
        <v>2</v>
      </c>
      <c r="I240" s="67"/>
      <c r="J240" s="67">
        <v>46205</v>
      </c>
      <c r="K240" s="65"/>
      <c r="L240" s="74" t="s">
        <v>476</v>
      </c>
      <c r="M240" s="101" t="s">
        <v>64</v>
      </c>
      <c r="N240" s="96"/>
    </row>
    <row r="241" spans="1:14" ht="15" thickBot="1" x14ac:dyDescent="0.35">
      <c r="A241" s="68">
        <v>240</v>
      </c>
      <c r="B241" s="58" t="s">
        <v>475</v>
      </c>
      <c r="C241" s="58" t="s">
        <v>474</v>
      </c>
      <c r="D241" s="70" t="s">
        <v>89</v>
      </c>
      <c r="E241" s="75" t="s">
        <v>73</v>
      </c>
      <c r="F241" s="61" t="s">
        <v>68</v>
      </c>
      <c r="G241" s="72"/>
      <c r="H241" s="116">
        <v>10</v>
      </c>
      <c r="I241" s="63"/>
      <c r="J241" s="63">
        <v>46210</v>
      </c>
      <c r="K241" s="59"/>
      <c r="L241" s="70"/>
      <c r="M241" s="101" t="s">
        <v>64</v>
      </c>
      <c r="N241" s="95"/>
    </row>
    <row r="242" spans="1:14" ht="15" thickBot="1" x14ac:dyDescent="0.35">
      <c r="A242" s="68">
        <v>241</v>
      </c>
      <c r="B242" s="64" t="s">
        <v>478</v>
      </c>
      <c r="C242" s="64" t="s">
        <v>497</v>
      </c>
      <c r="D242" s="74" t="s">
        <v>79</v>
      </c>
      <c r="E242" s="78"/>
      <c r="F242" s="73" t="s">
        <v>63</v>
      </c>
      <c r="G242" s="76"/>
      <c r="H242" s="117">
        <v>6</v>
      </c>
      <c r="I242" s="67">
        <v>46205</v>
      </c>
      <c r="J242" s="67">
        <v>46206</v>
      </c>
      <c r="K242" s="65"/>
      <c r="L242" s="74" t="s">
        <v>496</v>
      </c>
      <c r="M242" s="101" t="s">
        <v>64</v>
      </c>
      <c r="N242" s="96"/>
    </row>
    <row r="243" spans="1:14" ht="15" thickBot="1" x14ac:dyDescent="0.35">
      <c r="A243" s="68">
        <v>242</v>
      </c>
      <c r="B243" s="58" t="s">
        <v>479</v>
      </c>
      <c r="C243" s="58"/>
      <c r="D243" s="70" t="s">
        <v>89</v>
      </c>
      <c r="E243" s="75" t="s">
        <v>73</v>
      </c>
      <c r="F243" s="61" t="s">
        <v>63</v>
      </c>
      <c r="G243" s="72"/>
      <c r="H243" s="116"/>
      <c r="I243" s="63"/>
      <c r="J243" s="63">
        <v>46210</v>
      </c>
      <c r="K243" s="59"/>
      <c r="L243" s="70"/>
      <c r="M243" s="101" t="s">
        <v>240</v>
      </c>
      <c r="N243" s="95"/>
    </row>
    <row r="244" spans="1:14" ht="15" thickBot="1" x14ac:dyDescent="0.35">
      <c r="A244" s="68">
        <v>243</v>
      </c>
      <c r="B244" s="64" t="s">
        <v>486</v>
      </c>
      <c r="C244" s="64" t="s">
        <v>487</v>
      </c>
      <c r="D244" s="74" t="s">
        <v>89</v>
      </c>
      <c r="E244" s="78" t="s">
        <v>73</v>
      </c>
      <c r="F244" s="73" t="s">
        <v>63</v>
      </c>
      <c r="G244" s="76"/>
      <c r="H244" s="117">
        <v>1</v>
      </c>
      <c r="I244" s="67"/>
      <c r="J244" s="67">
        <v>46210</v>
      </c>
      <c r="K244" s="65"/>
      <c r="L244" s="74" t="s">
        <v>488</v>
      </c>
      <c r="M244" s="101" t="s">
        <v>240</v>
      </c>
      <c r="N244" s="96"/>
    </row>
    <row r="245" spans="1:14" ht="15" thickBot="1" x14ac:dyDescent="0.35">
      <c r="A245" s="68">
        <v>244</v>
      </c>
      <c r="B245" s="58" t="s">
        <v>490</v>
      </c>
      <c r="C245" s="58" t="s">
        <v>491</v>
      </c>
      <c r="D245" s="70" t="s">
        <v>79</v>
      </c>
      <c r="E245" s="75" t="s">
        <v>62</v>
      </c>
      <c r="F245" s="61" t="s">
        <v>68</v>
      </c>
      <c r="G245" s="72"/>
      <c r="H245" s="116">
        <v>6</v>
      </c>
      <c r="I245" s="63">
        <v>46205</v>
      </c>
      <c r="J245" s="63">
        <v>46210</v>
      </c>
      <c r="K245" s="59"/>
      <c r="L245" s="70"/>
      <c r="M245" s="101"/>
      <c r="N245" s="95"/>
    </row>
    <row r="246" spans="1:14" ht="15" thickBot="1" x14ac:dyDescent="0.35">
      <c r="A246" s="68">
        <v>245</v>
      </c>
      <c r="B246" s="64" t="s">
        <v>494</v>
      </c>
      <c r="C246" s="64" t="s">
        <v>495</v>
      </c>
      <c r="D246" s="74" t="s">
        <v>89</v>
      </c>
      <c r="E246" s="78" t="s">
        <v>73</v>
      </c>
      <c r="F246" s="73" t="s">
        <v>75</v>
      </c>
      <c r="G246" s="76"/>
      <c r="H246" s="117">
        <v>6</v>
      </c>
      <c r="I246" s="67">
        <v>46205</v>
      </c>
      <c r="J246" s="67">
        <v>46234</v>
      </c>
      <c r="K246" s="65"/>
      <c r="L246" s="74"/>
      <c r="M246" s="101" t="s">
        <v>119</v>
      </c>
      <c r="N246" s="96"/>
    </row>
    <row r="247" spans="1:14" ht="15" thickBot="1" x14ac:dyDescent="0.35">
      <c r="A247" s="68">
        <v>246</v>
      </c>
      <c r="B247" s="58" t="s">
        <v>498</v>
      </c>
      <c r="C247" s="58" t="s">
        <v>500</v>
      </c>
      <c r="D247" s="70" t="s">
        <v>89</v>
      </c>
      <c r="E247" s="75" t="s">
        <v>73</v>
      </c>
      <c r="F247" s="61" t="s">
        <v>63</v>
      </c>
      <c r="G247" s="72"/>
      <c r="H247" s="116">
        <v>4</v>
      </c>
      <c r="I247" s="63">
        <v>46206</v>
      </c>
      <c r="J247" s="63">
        <v>46206</v>
      </c>
      <c r="K247" s="59"/>
      <c r="L247" s="70"/>
      <c r="M247" s="101" t="s">
        <v>64</v>
      </c>
      <c r="N247" s="95"/>
    </row>
    <row r="248" spans="1:14" ht="28.8" x14ac:dyDescent="0.3">
      <c r="A248" s="68">
        <v>247</v>
      </c>
      <c r="B248" s="64" t="s">
        <v>499</v>
      </c>
      <c r="C248" s="64" t="s">
        <v>501</v>
      </c>
      <c r="D248" s="74" t="s">
        <v>89</v>
      </c>
      <c r="E248" s="78" t="s">
        <v>73</v>
      </c>
      <c r="F248" s="73" t="s">
        <v>63</v>
      </c>
      <c r="G248" s="76"/>
      <c r="H248" s="117">
        <v>4</v>
      </c>
      <c r="I248" s="67">
        <v>46210</v>
      </c>
      <c r="J248" s="67">
        <v>46210</v>
      </c>
      <c r="K248" s="65"/>
      <c r="L248" s="74"/>
      <c r="M248" s="101" t="s">
        <v>64</v>
      </c>
      <c r="N248" s="96"/>
    </row>
    <row r="249" spans="1:14" x14ac:dyDescent="0.3">
      <c r="I249" s="69"/>
      <c r="J249" s="69"/>
    </row>
    <row r="250" spans="1:14" x14ac:dyDescent="0.3">
      <c r="I250" s="69"/>
      <c r="J250" s="69"/>
    </row>
    <row r="251" spans="1:14" x14ac:dyDescent="0.3">
      <c r="I251" s="69"/>
      <c r="J251" s="69"/>
    </row>
    <row r="252" spans="1:14" x14ac:dyDescent="0.3">
      <c r="I252" s="69"/>
      <c r="J252" s="69"/>
    </row>
    <row r="253" spans="1:14" x14ac:dyDescent="0.3">
      <c r="I253" s="69"/>
      <c r="J253" s="69"/>
    </row>
    <row r="254" spans="1:14" x14ac:dyDescent="0.3">
      <c r="I254" s="69"/>
      <c r="J254" s="69"/>
    </row>
    <row r="255" spans="1:14" x14ac:dyDescent="0.3">
      <c r="I255" s="69"/>
      <c r="J255" s="69"/>
    </row>
    <row r="256" spans="1:14" x14ac:dyDescent="0.3">
      <c r="I256" s="69"/>
      <c r="J256" s="69"/>
    </row>
    <row r="257" spans="9:10" x14ac:dyDescent="0.3">
      <c r="I257" s="69"/>
      <c r="J257" s="69"/>
    </row>
    <row r="258" spans="9:10" x14ac:dyDescent="0.3">
      <c r="I258" s="69"/>
      <c r="J258" s="69"/>
    </row>
    <row r="259" spans="9:10" x14ac:dyDescent="0.3">
      <c r="I259" s="69"/>
      <c r="J259" s="69"/>
    </row>
    <row r="260" spans="9:10" x14ac:dyDescent="0.3">
      <c r="I260" s="69"/>
      <c r="J260" s="69"/>
    </row>
    <row r="261" spans="9:10" x14ac:dyDescent="0.3">
      <c r="I261" s="69"/>
      <c r="J261" s="69"/>
    </row>
    <row r="262" spans="9:10" x14ac:dyDescent="0.3">
      <c r="I262" s="69"/>
      <c r="J262" s="69"/>
    </row>
    <row r="263" spans="9:10" x14ac:dyDescent="0.3">
      <c r="I263" s="69"/>
      <c r="J263" s="69"/>
    </row>
    <row r="264" spans="9:10" x14ac:dyDescent="0.3">
      <c r="I264" s="69"/>
      <c r="J264" s="69"/>
    </row>
    <row r="265" spans="9:10" x14ac:dyDescent="0.3">
      <c r="I265" s="69"/>
      <c r="J265" s="69"/>
    </row>
    <row r="266" spans="9:10" x14ac:dyDescent="0.3">
      <c r="I266" s="69"/>
      <c r="J266" s="69"/>
    </row>
    <row r="267" spans="9:10" x14ac:dyDescent="0.3">
      <c r="I267" s="69"/>
      <c r="J267" s="69"/>
    </row>
    <row r="268" spans="9:10" x14ac:dyDescent="0.3">
      <c r="I268" s="69"/>
      <c r="J268" s="69"/>
    </row>
    <row r="269" spans="9:10" x14ac:dyDescent="0.3">
      <c r="I269" s="69"/>
      <c r="J269" s="69"/>
    </row>
    <row r="270" spans="9:10" x14ac:dyDescent="0.3">
      <c r="I270" s="69"/>
      <c r="J270" s="69"/>
    </row>
    <row r="271" spans="9:10" x14ac:dyDescent="0.3">
      <c r="I271" s="69"/>
      <c r="J271" s="69"/>
    </row>
    <row r="272" spans="9:10" x14ac:dyDescent="0.3">
      <c r="I272" s="69"/>
      <c r="J272" s="69"/>
    </row>
    <row r="273" spans="9:10" x14ac:dyDescent="0.3">
      <c r="I273" s="69"/>
      <c r="J273" s="69"/>
    </row>
    <row r="274" spans="9:10" x14ac:dyDescent="0.3">
      <c r="I274" s="69"/>
      <c r="J274" s="69"/>
    </row>
    <row r="275" spans="9:10" x14ac:dyDescent="0.3">
      <c r="I275" s="69"/>
      <c r="J275" s="69"/>
    </row>
    <row r="276" spans="9:10" x14ac:dyDescent="0.3">
      <c r="I276" s="69"/>
      <c r="J276" s="69"/>
    </row>
    <row r="277" spans="9:10" x14ac:dyDescent="0.3">
      <c r="I277" s="69"/>
      <c r="J277" s="69"/>
    </row>
    <row r="278" spans="9:10" x14ac:dyDescent="0.3">
      <c r="I278" s="69"/>
      <c r="J278" s="69"/>
    </row>
    <row r="279" spans="9:10" x14ac:dyDescent="0.3">
      <c r="I279" s="69"/>
      <c r="J279" s="69"/>
    </row>
    <row r="280" spans="9:10" x14ac:dyDescent="0.3">
      <c r="I280" s="69"/>
      <c r="J280" s="69"/>
    </row>
    <row r="281" spans="9:10" x14ac:dyDescent="0.3">
      <c r="I281" s="69"/>
      <c r="J281" s="69"/>
    </row>
    <row r="282" spans="9:10" x14ac:dyDescent="0.3">
      <c r="I282" s="69"/>
      <c r="J282" s="69"/>
    </row>
    <row r="283" spans="9:10" x14ac:dyDescent="0.3">
      <c r="I283" s="69"/>
      <c r="J283" s="69"/>
    </row>
    <row r="284" spans="9:10" x14ac:dyDescent="0.3">
      <c r="I284" s="69"/>
      <c r="J284" s="69"/>
    </row>
    <row r="285" spans="9:10" x14ac:dyDescent="0.3">
      <c r="I285" s="69"/>
      <c r="J285" s="69"/>
    </row>
    <row r="286" spans="9:10" x14ac:dyDescent="0.3">
      <c r="I286" s="69"/>
      <c r="J286" s="69"/>
    </row>
    <row r="287" spans="9:10" x14ac:dyDescent="0.3">
      <c r="I287" s="69"/>
      <c r="J287" s="69"/>
    </row>
    <row r="288" spans="9:10" x14ac:dyDescent="0.3">
      <c r="I288" s="69"/>
      <c r="J288" s="69"/>
    </row>
    <row r="289" spans="9:10" x14ac:dyDescent="0.3">
      <c r="I289" s="69"/>
      <c r="J289" s="69"/>
    </row>
    <row r="290" spans="9:10" x14ac:dyDescent="0.3">
      <c r="I290" s="69"/>
      <c r="J290" s="69"/>
    </row>
    <row r="291" spans="9:10" x14ac:dyDescent="0.3">
      <c r="I291" s="69"/>
      <c r="J291" s="69"/>
    </row>
    <row r="292" spans="9:10" x14ac:dyDescent="0.3">
      <c r="I292" s="69"/>
      <c r="J292" s="69"/>
    </row>
    <row r="293" spans="9:10" x14ac:dyDescent="0.3">
      <c r="I293" s="69"/>
      <c r="J293" s="69"/>
    </row>
    <row r="294" spans="9:10" x14ac:dyDescent="0.3">
      <c r="I294" s="69"/>
      <c r="J294" s="69"/>
    </row>
    <row r="295" spans="9:10" x14ac:dyDescent="0.3">
      <c r="I295" s="69"/>
      <c r="J295" s="69"/>
    </row>
    <row r="296" spans="9:10" x14ac:dyDescent="0.3">
      <c r="I296" s="69"/>
      <c r="J296" s="69"/>
    </row>
    <row r="297" spans="9:10" x14ac:dyDescent="0.3">
      <c r="I297" s="69"/>
      <c r="J297" s="69"/>
    </row>
    <row r="298" spans="9:10" x14ac:dyDescent="0.3">
      <c r="I298" s="69"/>
      <c r="J298" s="69"/>
    </row>
    <row r="299" spans="9:10" x14ac:dyDescent="0.3">
      <c r="I299" s="69"/>
      <c r="J299" s="69"/>
    </row>
    <row r="300" spans="9:10" x14ac:dyDescent="0.3">
      <c r="I300" s="69"/>
      <c r="J300" s="69"/>
    </row>
    <row r="301" spans="9:10" x14ac:dyDescent="0.3">
      <c r="I301" s="69"/>
      <c r="J301" s="69"/>
    </row>
    <row r="302" spans="9:10" x14ac:dyDescent="0.3">
      <c r="I302" s="69"/>
      <c r="J302" s="69"/>
    </row>
    <row r="303" spans="9:10" x14ac:dyDescent="0.3">
      <c r="I303" s="69"/>
      <c r="J303" s="69"/>
    </row>
    <row r="304" spans="9:10" x14ac:dyDescent="0.3">
      <c r="I304" s="69"/>
      <c r="J304" s="69"/>
    </row>
    <row r="305" spans="9:10" x14ac:dyDescent="0.3">
      <c r="I305" s="69"/>
      <c r="J305" s="69"/>
    </row>
    <row r="306" spans="9:10" x14ac:dyDescent="0.3">
      <c r="I306" s="69"/>
      <c r="J306" s="69"/>
    </row>
    <row r="307" spans="9:10" x14ac:dyDescent="0.3">
      <c r="I307" s="69"/>
      <c r="J307" s="69"/>
    </row>
    <row r="308" spans="9:10" x14ac:dyDescent="0.3">
      <c r="I308" s="69"/>
      <c r="J308" s="69"/>
    </row>
    <row r="309" spans="9:10" x14ac:dyDescent="0.3">
      <c r="I309" s="69"/>
      <c r="J309" s="69"/>
    </row>
    <row r="310" spans="9:10" x14ac:dyDescent="0.3">
      <c r="I310" s="69"/>
      <c r="J310" s="69"/>
    </row>
    <row r="311" spans="9:10" x14ac:dyDescent="0.3">
      <c r="I311" s="69"/>
      <c r="J311" s="69"/>
    </row>
    <row r="312" spans="9:10" x14ac:dyDescent="0.3">
      <c r="I312" s="69"/>
      <c r="J312" s="69"/>
    </row>
    <row r="313" spans="9:10" x14ac:dyDescent="0.3">
      <c r="I313" s="69"/>
      <c r="J313" s="69"/>
    </row>
    <row r="314" spans="9:10" x14ac:dyDescent="0.3">
      <c r="I314" s="69"/>
      <c r="J314" s="69"/>
    </row>
    <row r="315" spans="9:10" x14ac:dyDescent="0.3">
      <c r="I315" s="69"/>
      <c r="J315" s="69"/>
    </row>
    <row r="316" spans="9:10" x14ac:dyDescent="0.3">
      <c r="I316" s="69"/>
      <c r="J316" s="69"/>
    </row>
    <row r="317" spans="9:10" x14ac:dyDescent="0.3">
      <c r="I317" s="69"/>
      <c r="J317" s="69"/>
    </row>
    <row r="318" spans="9:10" x14ac:dyDescent="0.3">
      <c r="I318" s="69"/>
      <c r="J318" s="69"/>
    </row>
    <row r="319" spans="9:10" x14ac:dyDescent="0.3">
      <c r="I319" s="69"/>
      <c r="J319" s="69"/>
    </row>
    <row r="320" spans="9:10" x14ac:dyDescent="0.3">
      <c r="I320" s="69"/>
      <c r="J320" s="69"/>
    </row>
    <row r="321" spans="9:10" x14ac:dyDescent="0.3">
      <c r="I321" s="69"/>
      <c r="J321" s="69"/>
    </row>
    <row r="322" spans="9:10" x14ac:dyDescent="0.3">
      <c r="I322" s="69"/>
      <c r="J322" s="69"/>
    </row>
    <row r="323" spans="9:10" x14ac:dyDescent="0.3">
      <c r="I323" s="69"/>
      <c r="J323" s="69"/>
    </row>
    <row r="324" spans="9:10" x14ac:dyDescent="0.3">
      <c r="I324" s="69"/>
      <c r="J324" s="69"/>
    </row>
    <row r="325" spans="9:10" x14ac:dyDescent="0.3">
      <c r="I325" s="69"/>
      <c r="J325" s="69"/>
    </row>
    <row r="326" spans="9:10" x14ac:dyDescent="0.3">
      <c r="I326" s="69"/>
      <c r="J326" s="69"/>
    </row>
    <row r="327" spans="9:10" x14ac:dyDescent="0.3">
      <c r="I327" s="69"/>
      <c r="J327" s="69"/>
    </row>
    <row r="328" spans="9:10" x14ac:dyDescent="0.3">
      <c r="I328" s="69"/>
      <c r="J328" s="69"/>
    </row>
    <row r="329" spans="9:10" x14ac:dyDescent="0.3">
      <c r="I329" s="69"/>
      <c r="J329" s="69"/>
    </row>
    <row r="330" spans="9:10" x14ac:dyDescent="0.3">
      <c r="I330" s="69"/>
      <c r="J330" s="69"/>
    </row>
    <row r="331" spans="9:10" x14ac:dyDescent="0.3">
      <c r="I331" s="69"/>
      <c r="J331" s="69"/>
    </row>
    <row r="332" spans="9:10" x14ac:dyDescent="0.3">
      <c r="I332" s="69"/>
      <c r="J332" s="69"/>
    </row>
    <row r="333" spans="9:10" x14ac:dyDescent="0.3">
      <c r="I333" s="69"/>
      <c r="J333" s="69"/>
    </row>
    <row r="334" spans="9:10" x14ac:dyDescent="0.3">
      <c r="I334" s="69"/>
      <c r="J334" s="69"/>
    </row>
    <row r="335" spans="9:10" x14ac:dyDescent="0.3">
      <c r="I335" s="69"/>
      <c r="J335" s="69"/>
    </row>
    <row r="336" spans="9:10" x14ac:dyDescent="0.3">
      <c r="I336" s="69"/>
      <c r="J336" s="69"/>
    </row>
    <row r="337" spans="9:10" x14ac:dyDescent="0.3">
      <c r="I337" s="69"/>
      <c r="J337" s="69"/>
    </row>
    <row r="338" spans="9:10" x14ac:dyDescent="0.3">
      <c r="I338" s="69"/>
      <c r="J338" s="69"/>
    </row>
    <row r="339" spans="9:10" x14ac:dyDescent="0.3">
      <c r="I339" s="69"/>
      <c r="J339" s="69"/>
    </row>
    <row r="340" spans="9:10" x14ac:dyDescent="0.3">
      <c r="I340" s="69"/>
      <c r="J340" s="69"/>
    </row>
    <row r="341" spans="9:10" x14ac:dyDescent="0.3">
      <c r="I341" s="69"/>
      <c r="J341" s="69"/>
    </row>
    <row r="342" spans="9:10" x14ac:dyDescent="0.3">
      <c r="I342" s="69"/>
      <c r="J342" s="69"/>
    </row>
    <row r="343" spans="9:10" x14ac:dyDescent="0.3">
      <c r="I343" s="69"/>
      <c r="J343" s="69"/>
    </row>
    <row r="344" spans="9:10" x14ac:dyDescent="0.3">
      <c r="I344" s="69"/>
      <c r="J344" s="69"/>
    </row>
    <row r="345" spans="9:10" x14ac:dyDescent="0.3">
      <c r="I345" s="69"/>
      <c r="J345" s="69"/>
    </row>
    <row r="346" spans="9:10" x14ac:dyDescent="0.3">
      <c r="I346" s="69"/>
      <c r="J346" s="69"/>
    </row>
    <row r="347" spans="9:10" x14ac:dyDescent="0.3">
      <c r="I347" s="69"/>
      <c r="J347" s="69"/>
    </row>
    <row r="348" spans="9:10" x14ac:dyDescent="0.3">
      <c r="I348" s="69"/>
      <c r="J348" s="69"/>
    </row>
    <row r="349" spans="9:10" x14ac:dyDescent="0.3">
      <c r="I349" s="69"/>
      <c r="J349" s="69"/>
    </row>
    <row r="350" spans="9:10" x14ac:dyDescent="0.3">
      <c r="I350" s="69"/>
      <c r="J350" s="69"/>
    </row>
    <row r="351" spans="9:10" x14ac:dyDescent="0.3">
      <c r="I351" s="69"/>
      <c r="J351" s="69"/>
    </row>
    <row r="352" spans="9:10" x14ac:dyDescent="0.3">
      <c r="I352" s="69"/>
      <c r="J352" s="69"/>
    </row>
    <row r="353" spans="9:10" x14ac:dyDescent="0.3">
      <c r="I353" s="69"/>
      <c r="J353" s="69"/>
    </row>
    <row r="354" spans="9:10" x14ac:dyDescent="0.3">
      <c r="I354" s="69"/>
      <c r="J354" s="69"/>
    </row>
    <row r="355" spans="9:10" x14ac:dyDescent="0.3">
      <c r="I355" s="69"/>
      <c r="J355" s="69"/>
    </row>
    <row r="356" spans="9:10" x14ac:dyDescent="0.3">
      <c r="I356" s="69"/>
      <c r="J356" s="69"/>
    </row>
    <row r="357" spans="9:10" x14ac:dyDescent="0.3">
      <c r="I357" s="69"/>
      <c r="J357" s="69"/>
    </row>
    <row r="358" spans="9:10" x14ac:dyDescent="0.3">
      <c r="I358" s="69"/>
      <c r="J358" s="69"/>
    </row>
    <row r="359" spans="9:10" x14ac:dyDescent="0.3">
      <c r="I359" s="69"/>
      <c r="J359" s="69"/>
    </row>
    <row r="360" spans="9:10" x14ac:dyDescent="0.3">
      <c r="I360" s="69"/>
      <c r="J360" s="69"/>
    </row>
    <row r="361" spans="9:10" x14ac:dyDescent="0.3">
      <c r="I361" s="69"/>
      <c r="J361" s="69"/>
    </row>
    <row r="362" spans="9:10" x14ac:dyDescent="0.3">
      <c r="I362" s="69"/>
      <c r="J362" s="69"/>
    </row>
    <row r="363" spans="9:10" x14ac:dyDescent="0.3">
      <c r="I363" s="69"/>
      <c r="J363" s="69"/>
    </row>
    <row r="364" spans="9:10" x14ac:dyDescent="0.3">
      <c r="I364" s="69"/>
      <c r="J364" s="69"/>
    </row>
    <row r="365" spans="9:10" x14ac:dyDescent="0.3">
      <c r="I365" s="69"/>
      <c r="J365" s="69"/>
    </row>
    <row r="366" spans="9:10" x14ac:dyDescent="0.3">
      <c r="I366" s="69"/>
      <c r="J366" s="69"/>
    </row>
    <row r="367" spans="9:10" x14ac:dyDescent="0.3">
      <c r="I367" s="69"/>
      <c r="J367" s="69"/>
    </row>
    <row r="368" spans="9:10" x14ac:dyDescent="0.3">
      <c r="I368" s="69"/>
      <c r="J368" s="69"/>
    </row>
    <row r="369" spans="9:10" x14ac:dyDescent="0.3">
      <c r="I369" s="69"/>
      <c r="J369" s="69"/>
    </row>
    <row r="370" spans="9:10" x14ac:dyDescent="0.3">
      <c r="I370" s="69"/>
      <c r="J370" s="69"/>
    </row>
    <row r="371" spans="9:10" x14ac:dyDescent="0.3">
      <c r="I371" s="69"/>
      <c r="J371" s="69"/>
    </row>
    <row r="372" spans="9:10" x14ac:dyDescent="0.3">
      <c r="I372" s="69"/>
      <c r="J372" s="69"/>
    </row>
    <row r="373" spans="9:10" x14ac:dyDescent="0.3">
      <c r="I373" s="69"/>
      <c r="J373" s="69"/>
    </row>
    <row r="374" spans="9:10" x14ac:dyDescent="0.3">
      <c r="I374" s="69"/>
      <c r="J374" s="69"/>
    </row>
    <row r="375" spans="9:10" x14ac:dyDescent="0.3">
      <c r="I375" s="69"/>
      <c r="J375" s="69"/>
    </row>
    <row r="376" spans="9:10" x14ac:dyDescent="0.3">
      <c r="I376" s="69"/>
      <c r="J376" s="69"/>
    </row>
    <row r="377" spans="9:10" x14ac:dyDescent="0.3">
      <c r="I377" s="69"/>
      <c r="J377" s="69"/>
    </row>
    <row r="378" spans="9:10" x14ac:dyDescent="0.3">
      <c r="I378" s="69"/>
      <c r="J378" s="69"/>
    </row>
    <row r="379" spans="9:10" x14ac:dyDescent="0.3">
      <c r="I379" s="69"/>
      <c r="J379" s="69"/>
    </row>
    <row r="380" spans="9:10" x14ac:dyDescent="0.3">
      <c r="I380" s="69"/>
      <c r="J380" s="69"/>
    </row>
    <row r="381" spans="9:10" x14ac:dyDescent="0.3">
      <c r="I381" s="69"/>
      <c r="J381" s="69"/>
    </row>
    <row r="382" spans="9:10" x14ac:dyDescent="0.3">
      <c r="I382" s="69"/>
      <c r="J382" s="69"/>
    </row>
    <row r="383" spans="9:10" x14ac:dyDescent="0.3">
      <c r="I383" s="69"/>
      <c r="J383" s="69"/>
    </row>
    <row r="384" spans="9:10" x14ac:dyDescent="0.3">
      <c r="I384" s="69"/>
      <c r="J384" s="69"/>
    </row>
    <row r="385" spans="9:10" x14ac:dyDescent="0.3">
      <c r="I385" s="69"/>
      <c r="J385" s="69"/>
    </row>
    <row r="386" spans="9:10" x14ac:dyDescent="0.3">
      <c r="I386" s="69"/>
      <c r="J386" s="69"/>
    </row>
    <row r="387" spans="9:10" x14ac:dyDescent="0.3">
      <c r="I387" s="69"/>
      <c r="J387" s="69"/>
    </row>
    <row r="388" spans="9:10" x14ac:dyDescent="0.3">
      <c r="I388" s="69"/>
      <c r="J388" s="69"/>
    </row>
    <row r="389" spans="9:10" x14ac:dyDescent="0.3">
      <c r="I389" s="69"/>
      <c r="J389" s="69"/>
    </row>
    <row r="390" spans="9:10" x14ac:dyDescent="0.3">
      <c r="I390" s="69"/>
      <c r="J390" s="69"/>
    </row>
    <row r="391" spans="9:10" x14ac:dyDescent="0.3">
      <c r="I391" s="69"/>
      <c r="J391" s="69"/>
    </row>
    <row r="392" spans="9:10" x14ac:dyDescent="0.3">
      <c r="I392" s="69"/>
      <c r="J392" s="69"/>
    </row>
    <row r="393" spans="9:10" x14ac:dyDescent="0.3">
      <c r="I393" s="69"/>
      <c r="J393" s="69"/>
    </row>
    <row r="394" spans="9:10" x14ac:dyDescent="0.3">
      <c r="I394" s="69"/>
      <c r="J394" s="69"/>
    </row>
    <row r="395" spans="9:10" x14ac:dyDescent="0.3">
      <c r="I395" s="69"/>
      <c r="J395" s="69"/>
    </row>
    <row r="396" spans="9:10" x14ac:dyDescent="0.3">
      <c r="I396" s="69"/>
      <c r="J396" s="69"/>
    </row>
    <row r="397" spans="9:10" x14ac:dyDescent="0.3">
      <c r="I397" s="69"/>
      <c r="J397" s="69"/>
    </row>
    <row r="398" spans="9:10" x14ac:dyDescent="0.3">
      <c r="I398" s="69"/>
      <c r="J398" s="69"/>
    </row>
    <row r="399" spans="9:10" x14ac:dyDescent="0.3">
      <c r="I399" s="69"/>
      <c r="J399" s="69"/>
    </row>
    <row r="400" spans="9:10" x14ac:dyDescent="0.3">
      <c r="I400" s="69"/>
      <c r="J400" s="69"/>
    </row>
    <row r="401" spans="9:10" x14ac:dyDescent="0.3">
      <c r="I401" s="69"/>
      <c r="J401" s="69"/>
    </row>
    <row r="402" spans="9:10" x14ac:dyDescent="0.3">
      <c r="I402" s="69"/>
      <c r="J402" s="69"/>
    </row>
    <row r="403" spans="9:10" x14ac:dyDescent="0.3">
      <c r="I403" s="69"/>
      <c r="J403" s="69"/>
    </row>
    <row r="404" spans="9:10" x14ac:dyDescent="0.3">
      <c r="I404" s="69"/>
      <c r="J404" s="69"/>
    </row>
    <row r="405" spans="9:10" x14ac:dyDescent="0.3">
      <c r="I405" s="69"/>
      <c r="J405" s="69"/>
    </row>
    <row r="406" spans="9:10" x14ac:dyDescent="0.3">
      <c r="I406" s="69"/>
      <c r="J406" s="69"/>
    </row>
    <row r="407" spans="9:10" x14ac:dyDescent="0.3">
      <c r="I407" s="69"/>
      <c r="J407" s="69"/>
    </row>
    <row r="408" spans="9:10" x14ac:dyDescent="0.3">
      <c r="I408" s="69"/>
      <c r="J408" s="69"/>
    </row>
    <row r="409" spans="9:10" x14ac:dyDescent="0.3">
      <c r="I409" s="69"/>
      <c r="J409" s="69"/>
    </row>
    <row r="410" spans="9:10" x14ac:dyDescent="0.3">
      <c r="I410" s="69"/>
      <c r="J410" s="69"/>
    </row>
    <row r="411" spans="9:10" x14ac:dyDescent="0.3">
      <c r="I411" s="69"/>
      <c r="J411" s="69"/>
    </row>
    <row r="412" spans="9:10" x14ac:dyDescent="0.3">
      <c r="I412" s="69"/>
      <c r="J412" s="69"/>
    </row>
    <row r="413" spans="9:10" x14ac:dyDescent="0.3">
      <c r="I413" s="69"/>
      <c r="J413" s="69"/>
    </row>
    <row r="414" spans="9:10" x14ac:dyDescent="0.3">
      <c r="I414" s="69"/>
      <c r="J414" s="69"/>
    </row>
    <row r="415" spans="9:10" x14ac:dyDescent="0.3">
      <c r="I415" s="69"/>
      <c r="J415" s="69"/>
    </row>
    <row r="416" spans="9:10" x14ac:dyDescent="0.3">
      <c r="I416" s="69"/>
      <c r="J416" s="69"/>
    </row>
    <row r="417" spans="9:10" x14ac:dyDescent="0.3">
      <c r="I417" s="69"/>
      <c r="J417" s="69"/>
    </row>
    <row r="418" spans="9:10" x14ac:dyDescent="0.3">
      <c r="I418" s="69"/>
      <c r="J418" s="69"/>
    </row>
    <row r="419" spans="9:10" x14ac:dyDescent="0.3">
      <c r="I419" s="69"/>
      <c r="J419" s="69"/>
    </row>
    <row r="420" spans="9:10" x14ac:dyDescent="0.3">
      <c r="I420" s="69"/>
      <c r="J420" s="69"/>
    </row>
    <row r="421" spans="9:10" x14ac:dyDescent="0.3">
      <c r="I421" s="69"/>
      <c r="J421" s="69"/>
    </row>
    <row r="422" spans="9:10" x14ac:dyDescent="0.3">
      <c r="I422" s="69"/>
      <c r="J422" s="69"/>
    </row>
    <row r="423" spans="9:10" x14ac:dyDescent="0.3">
      <c r="I423" s="69"/>
      <c r="J423" s="69"/>
    </row>
    <row r="424" spans="9:10" x14ac:dyDescent="0.3">
      <c r="I424" s="69"/>
      <c r="J424" s="69"/>
    </row>
    <row r="425" spans="9:10" x14ac:dyDescent="0.3">
      <c r="I425" s="69"/>
      <c r="J425" s="69"/>
    </row>
    <row r="426" spans="9:10" x14ac:dyDescent="0.3">
      <c r="I426" s="69"/>
      <c r="J426" s="69"/>
    </row>
    <row r="427" spans="9:10" x14ac:dyDescent="0.3">
      <c r="I427" s="69"/>
      <c r="J427" s="69"/>
    </row>
    <row r="428" spans="9:10" x14ac:dyDescent="0.3">
      <c r="I428" s="69"/>
      <c r="J428" s="69"/>
    </row>
    <row r="429" spans="9:10" x14ac:dyDescent="0.3">
      <c r="I429" s="69"/>
      <c r="J429" s="69"/>
    </row>
    <row r="430" spans="9:10" x14ac:dyDescent="0.3">
      <c r="I430" s="69"/>
      <c r="J430" s="69"/>
    </row>
    <row r="431" spans="9:10" x14ac:dyDescent="0.3">
      <c r="I431" s="69"/>
      <c r="J431" s="69"/>
    </row>
    <row r="432" spans="9:10" x14ac:dyDescent="0.3">
      <c r="I432" s="69"/>
      <c r="J432" s="69"/>
    </row>
    <row r="433" spans="9:10" x14ac:dyDescent="0.3">
      <c r="I433" s="69"/>
      <c r="J433" s="69"/>
    </row>
    <row r="434" spans="9:10" x14ac:dyDescent="0.3">
      <c r="I434" s="69"/>
      <c r="J434" s="69"/>
    </row>
    <row r="435" spans="9:10" x14ac:dyDescent="0.3">
      <c r="I435" s="69"/>
      <c r="J435" s="69"/>
    </row>
    <row r="436" spans="9:10" x14ac:dyDescent="0.3">
      <c r="I436" s="69"/>
      <c r="J436" s="69"/>
    </row>
    <row r="437" spans="9:10" x14ac:dyDescent="0.3">
      <c r="I437" s="69"/>
      <c r="J437" s="69"/>
    </row>
    <row r="438" spans="9:10" x14ac:dyDescent="0.3">
      <c r="I438" s="69"/>
      <c r="J438" s="69"/>
    </row>
    <row r="439" spans="9:10" x14ac:dyDescent="0.3">
      <c r="I439" s="69"/>
      <c r="J439" s="69"/>
    </row>
    <row r="440" spans="9:10" x14ac:dyDescent="0.3">
      <c r="I440" s="69"/>
      <c r="J440" s="69"/>
    </row>
    <row r="441" spans="9:10" x14ac:dyDescent="0.3">
      <c r="I441" s="69"/>
      <c r="J441" s="69"/>
    </row>
    <row r="442" spans="9:10" x14ac:dyDescent="0.3">
      <c r="I442" s="69"/>
      <c r="J442" s="69"/>
    </row>
    <row r="443" spans="9:10" x14ac:dyDescent="0.3">
      <c r="I443" s="69"/>
      <c r="J443" s="69"/>
    </row>
    <row r="444" spans="9:10" x14ac:dyDescent="0.3">
      <c r="I444" s="69"/>
      <c r="J444" s="69"/>
    </row>
    <row r="445" spans="9:10" x14ac:dyDescent="0.3">
      <c r="I445" s="69"/>
      <c r="J445" s="69"/>
    </row>
    <row r="446" spans="9:10" x14ac:dyDescent="0.3">
      <c r="I446" s="69"/>
      <c r="J446" s="69"/>
    </row>
    <row r="447" spans="9:10" x14ac:dyDescent="0.3">
      <c r="I447" s="69"/>
      <c r="J447" s="69"/>
    </row>
    <row r="448" spans="9:10" x14ac:dyDescent="0.3">
      <c r="I448" s="69"/>
      <c r="J448" s="69"/>
    </row>
    <row r="449" spans="9:10" x14ac:dyDescent="0.3">
      <c r="I449" s="69"/>
      <c r="J449" s="69"/>
    </row>
    <row r="450" spans="9:10" x14ac:dyDescent="0.3">
      <c r="I450" s="69"/>
      <c r="J450" s="69"/>
    </row>
    <row r="451" spans="9:10" x14ac:dyDescent="0.3">
      <c r="I451" s="69"/>
      <c r="J451" s="69"/>
    </row>
    <row r="452" spans="9:10" x14ac:dyDescent="0.3">
      <c r="I452" s="69"/>
      <c r="J452" s="69"/>
    </row>
    <row r="453" spans="9:10" x14ac:dyDescent="0.3">
      <c r="I453" s="69"/>
      <c r="J453" s="69"/>
    </row>
    <row r="454" spans="9:10" x14ac:dyDescent="0.3">
      <c r="I454" s="69"/>
      <c r="J454" s="69"/>
    </row>
    <row r="455" spans="9:10" x14ac:dyDescent="0.3">
      <c r="I455" s="69"/>
      <c r="J455" s="69"/>
    </row>
    <row r="456" spans="9:10" x14ac:dyDescent="0.3">
      <c r="I456" s="69"/>
      <c r="J456" s="69"/>
    </row>
    <row r="457" spans="9:10" x14ac:dyDescent="0.3">
      <c r="I457" s="69"/>
      <c r="J457" s="69"/>
    </row>
    <row r="458" spans="9:10" x14ac:dyDescent="0.3">
      <c r="I458" s="69"/>
      <c r="J458" s="69"/>
    </row>
    <row r="459" spans="9:10" x14ac:dyDescent="0.3">
      <c r="I459" s="69"/>
      <c r="J459" s="69"/>
    </row>
    <row r="460" spans="9:10" x14ac:dyDescent="0.3">
      <c r="I460" s="69"/>
      <c r="J460" s="69"/>
    </row>
    <row r="461" spans="9:10" x14ac:dyDescent="0.3">
      <c r="I461" s="69"/>
      <c r="J461" s="69"/>
    </row>
    <row r="462" spans="9:10" x14ac:dyDescent="0.3">
      <c r="I462" s="69"/>
      <c r="J462" s="69"/>
    </row>
    <row r="463" spans="9:10" x14ac:dyDescent="0.3">
      <c r="I463" s="69"/>
      <c r="J463" s="69"/>
    </row>
    <row r="464" spans="9:10" x14ac:dyDescent="0.3">
      <c r="I464" s="69"/>
      <c r="J464" s="69"/>
    </row>
    <row r="465" spans="9:10" x14ac:dyDescent="0.3">
      <c r="I465" s="69"/>
      <c r="J465" s="69"/>
    </row>
    <row r="466" spans="9:10" x14ac:dyDescent="0.3">
      <c r="I466" s="69"/>
      <c r="J466" s="69"/>
    </row>
    <row r="467" spans="9:10" x14ac:dyDescent="0.3">
      <c r="I467" s="69"/>
      <c r="J467" s="69"/>
    </row>
    <row r="468" spans="9:10" x14ac:dyDescent="0.3">
      <c r="I468" s="69"/>
      <c r="J468" s="69"/>
    </row>
    <row r="469" spans="9:10" x14ac:dyDescent="0.3">
      <c r="I469" s="69"/>
      <c r="J469" s="69"/>
    </row>
    <row r="470" spans="9:10" x14ac:dyDescent="0.3">
      <c r="I470" s="69"/>
      <c r="J470" s="69"/>
    </row>
    <row r="471" spans="9:10" x14ac:dyDescent="0.3">
      <c r="I471" s="69"/>
      <c r="J471" s="69"/>
    </row>
    <row r="472" spans="9:10" x14ac:dyDescent="0.3">
      <c r="I472" s="69"/>
      <c r="J472" s="69"/>
    </row>
    <row r="473" spans="9:10" x14ac:dyDescent="0.3">
      <c r="I473" s="69"/>
      <c r="J473" s="69"/>
    </row>
    <row r="474" spans="9:10" x14ac:dyDescent="0.3">
      <c r="I474" s="69"/>
      <c r="J474" s="69"/>
    </row>
    <row r="475" spans="9:10" x14ac:dyDescent="0.3">
      <c r="I475" s="69"/>
      <c r="J475" s="69"/>
    </row>
    <row r="476" spans="9:10" x14ac:dyDescent="0.3">
      <c r="I476" s="69"/>
      <c r="J476" s="69"/>
    </row>
    <row r="477" spans="9:10" x14ac:dyDescent="0.3">
      <c r="I477" s="69"/>
      <c r="J477" s="69"/>
    </row>
    <row r="478" spans="9:10" x14ac:dyDescent="0.3">
      <c r="I478" s="69"/>
      <c r="J478" s="69"/>
    </row>
    <row r="479" spans="9:10" x14ac:dyDescent="0.3">
      <c r="I479" s="69"/>
      <c r="J479" s="69"/>
    </row>
    <row r="480" spans="9:10" x14ac:dyDescent="0.3">
      <c r="I480" s="69"/>
      <c r="J480" s="69"/>
    </row>
    <row r="481" spans="9:10" x14ac:dyDescent="0.3">
      <c r="I481" s="69"/>
      <c r="J481" s="69"/>
    </row>
    <row r="482" spans="9:10" x14ac:dyDescent="0.3">
      <c r="I482" s="69"/>
      <c r="J482" s="69"/>
    </row>
    <row r="483" spans="9:10" x14ac:dyDescent="0.3">
      <c r="I483" s="69"/>
      <c r="J483" s="69"/>
    </row>
    <row r="484" spans="9:10" x14ac:dyDescent="0.3">
      <c r="I484" s="69"/>
      <c r="J484" s="69"/>
    </row>
    <row r="485" spans="9:10" x14ac:dyDescent="0.3">
      <c r="I485" s="69"/>
      <c r="J485" s="69"/>
    </row>
    <row r="486" spans="9:10" x14ac:dyDescent="0.3">
      <c r="I486" s="69"/>
      <c r="J486" s="69"/>
    </row>
    <row r="487" spans="9:10" x14ac:dyDescent="0.3">
      <c r="I487" s="69"/>
      <c r="J487" s="69"/>
    </row>
    <row r="488" spans="9:10" x14ac:dyDescent="0.3">
      <c r="I488" s="69"/>
      <c r="J488" s="69"/>
    </row>
    <row r="489" spans="9:10" x14ac:dyDescent="0.3">
      <c r="I489" s="69"/>
      <c r="J489" s="69"/>
    </row>
    <row r="490" spans="9:10" x14ac:dyDescent="0.3">
      <c r="I490" s="69"/>
      <c r="J490" s="69"/>
    </row>
    <row r="491" spans="9:10" x14ac:dyDescent="0.3">
      <c r="I491" s="69"/>
      <c r="J491" s="69"/>
    </row>
    <row r="492" spans="9:10" x14ac:dyDescent="0.3">
      <c r="I492" s="69"/>
      <c r="J492" s="69"/>
    </row>
    <row r="493" spans="9:10" x14ac:dyDescent="0.3">
      <c r="I493" s="69"/>
      <c r="J493" s="69"/>
    </row>
    <row r="494" spans="9:10" x14ac:dyDescent="0.3">
      <c r="I494" s="69"/>
      <c r="J494" s="69"/>
    </row>
    <row r="495" spans="9:10" x14ac:dyDescent="0.3">
      <c r="I495" s="69"/>
      <c r="J495" s="69"/>
    </row>
    <row r="496" spans="9:10" x14ac:dyDescent="0.3">
      <c r="I496" s="69"/>
      <c r="J496" s="69"/>
    </row>
    <row r="497" spans="9:10" x14ac:dyDescent="0.3">
      <c r="I497" s="69"/>
      <c r="J497" s="69"/>
    </row>
    <row r="498" spans="9:10" x14ac:dyDescent="0.3">
      <c r="I498" s="69"/>
      <c r="J498" s="69"/>
    </row>
    <row r="499" spans="9:10" x14ac:dyDescent="0.3">
      <c r="I499" s="69"/>
      <c r="J499" s="69"/>
    </row>
    <row r="500" spans="9:10" x14ac:dyDescent="0.3">
      <c r="I500" s="69"/>
      <c r="J500" s="69"/>
    </row>
    <row r="501" spans="9:10" x14ac:dyDescent="0.3">
      <c r="I501" s="69"/>
      <c r="J501" s="69"/>
    </row>
    <row r="502" spans="9:10" x14ac:dyDescent="0.3">
      <c r="I502" s="69"/>
      <c r="J502" s="69"/>
    </row>
    <row r="503" spans="9:10" x14ac:dyDescent="0.3">
      <c r="I503" s="69"/>
      <c r="J503" s="69"/>
    </row>
    <row r="504" spans="9:10" x14ac:dyDescent="0.3">
      <c r="I504" s="69"/>
      <c r="J504" s="69"/>
    </row>
    <row r="505" spans="9:10" x14ac:dyDescent="0.3">
      <c r="I505" s="69"/>
      <c r="J505" s="69"/>
    </row>
    <row r="506" spans="9:10" x14ac:dyDescent="0.3">
      <c r="I506" s="69"/>
      <c r="J506" s="69"/>
    </row>
    <row r="507" spans="9:10" x14ac:dyDescent="0.3">
      <c r="I507" s="69"/>
      <c r="J507" s="69"/>
    </row>
    <row r="508" spans="9:10" x14ac:dyDescent="0.3">
      <c r="I508" s="69"/>
      <c r="J508" s="69"/>
    </row>
    <row r="509" spans="9:10" x14ac:dyDescent="0.3">
      <c r="I509" s="69"/>
      <c r="J509" s="69"/>
    </row>
    <row r="510" spans="9:10" x14ac:dyDescent="0.3">
      <c r="I510" s="69"/>
      <c r="J510" s="69"/>
    </row>
    <row r="511" spans="9:10" x14ac:dyDescent="0.3">
      <c r="I511" s="69"/>
      <c r="J511" s="69"/>
    </row>
    <row r="512" spans="9:10" x14ac:dyDescent="0.3">
      <c r="I512" s="69"/>
      <c r="J512" s="69"/>
    </row>
    <row r="513" spans="9:10" x14ac:dyDescent="0.3">
      <c r="I513" s="69"/>
      <c r="J513" s="69"/>
    </row>
    <row r="514" spans="9:10" x14ac:dyDescent="0.3">
      <c r="I514" s="69"/>
      <c r="J514" s="69"/>
    </row>
    <row r="515" spans="9:10" x14ac:dyDescent="0.3">
      <c r="I515" s="69"/>
      <c r="J515" s="69"/>
    </row>
    <row r="516" spans="9:10" x14ac:dyDescent="0.3">
      <c r="I516" s="69"/>
      <c r="J516" s="69"/>
    </row>
    <row r="517" spans="9:10" x14ac:dyDescent="0.3">
      <c r="I517" s="69"/>
      <c r="J517" s="69"/>
    </row>
    <row r="518" spans="9:10" x14ac:dyDescent="0.3">
      <c r="I518" s="69"/>
      <c r="J518" s="69"/>
    </row>
    <row r="519" spans="9:10" x14ac:dyDescent="0.3">
      <c r="I519" s="69"/>
      <c r="J519" s="69"/>
    </row>
    <row r="520" spans="9:10" x14ac:dyDescent="0.3">
      <c r="I520" s="69"/>
      <c r="J520" s="69"/>
    </row>
    <row r="521" spans="9:10" x14ac:dyDescent="0.3">
      <c r="I521" s="69"/>
      <c r="J521" s="69"/>
    </row>
    <row r="522" spans="9:10" x14ac:dyDescent="0.3">
      <c r="I522" s="69"/>
      <c r="J522" s="69"/>
    </row>
    <row r="523" spans="9:10" x14ac:dyDescent="0.3">
      <c r="I523" s="69"/>
      <c r="J523" s="69"/>
    </row>
    <row r="524" spans="9:10" x14ac:dyDescent="0.3">
      <c r="I524" s="69"/>
      <c r="J524" s="69"/>
    </row>
    <row r="525" spans="9:10" x14ac:dyDescent="0.3">
      <c r="I525" s="69"/>
      <c r="J525" s="69"/>
    </row>
    <row r="526" spans="9:10" x14ac:dyDescent="0.3">
      <c r="I526" s="69"/>
      <c r="J526" s="69"/>
    </row>
    <row r="527" spans="9:10" x14ac:dyDescent="0.3">
      <c r="I527" s="69"/>
      <c r="J527" s="69"/>
    </row>
    <row r="528" spans="9:10" x14ac:dyDescent="0.3">
      <c r="I528" s="69"/>
      <c r="J528" s="69"/>
    </row>
    <row r="529" spans="9:10" x14ac:dyDescent="0.3">
      <c r="I529" s="69"/>
      <c r="J529" s="69"/>
    </row>
    <row r="530" spans="9:10" x14ac:dyDescent="0.3">
      <c r="I530" s="69"/>
      <c r="J530" s="69"/>
    </row>
    <row r="531" spans="9:10" x14ac:dyDescent="0.3">
      <c r="I531" s="69"/>
      <c r="J531" s="69"/>
    </row>
    <row r="532" spans="9:10" x14ac:dyDescent="0.3">
      <c r="I532" s="69"/>
      <c r="J532" s="69"/>
    </row>
    <row r="533" spans="9:10" x14ac:dyDescent="0.3">
      <c r="I533" s="69"/>
      <c r="J533" s="69"/>
    </row>
    <row r="534" spans="9:10" x14ac:dyDescent="0.3">
      <c r="I534" s="69"/>
      <c r="J534" s="69"/>
    </row>
    <row r="535" spans="9:10" x14ac:dyDescent="0.3">
      <c r="I535" s="69"/>
      <c r="J535" s="69"/>
    </row>
    <row r="536" spans="9:10" x14ac:dyDescent="0.3">
      <c r="I536" s="69"/>
      <c r="J536" s="69"/>
    </row>
    <row r="537" spans="9:10" x14ac:dyDescent="0.3">
      <c r="I537" s="69"/>
      <c r="J537" s="69"/>
    </row>
    <row r="538" spans="9:10" x14ac:dyDescent="0.3">
      <c r="I538" s="69"/>
      <c r="J538" s="69"/>
    </row>
    <row r="539" spans="9:10" x14ac:dyDescent="0.3">
      <c r="I539" s="69"/>
      <c r="J539" s="69"/>
    </row>
    <row r="540" spans="9:10" x14ac:dyDescent="0.3">
      <c r="I540" s="69"/>
      <c r="J540" s="69"/>
    </row>
    <row r="541" spans="9:10" x14ac:dyDescent="0.3">
      <c r="I541" s="69"/>
      <c r="J541" s="69"/>
    </row>
    <row r="542" spans="9:10" x14ac:dyDescent="0.3">
      <c r="I542" s="69"/>
      <c r="J542" s="69"/>
    </row>
    <row r="543" spans="9:10" x14ac:dyDescent="0.3">
      <c r="I543" s="69"/>
      <c r="J543" s="69"/>
    </row>
    <row r="544" spans="9:10" x14ac:dyDescent="0.3">
      <c r="I544" s="69"/>
      <c r="J544" s="69"/>
    </row>
    <row r="545" spans="9:10" x14ac:dyDescent="0.3">
      <c r="I545" s="69"/>
      <c r="J545" s="69"/>
    </row>
    <row r="546" spans="9:10" x14ac:dyDescent="0.3">
      <c r="I546" s="69"/>
      <c r="J546" s="69"/>
    </row>
    <row r="547" spans="9:10" x14ac:dyDescent="0.3">
      <c r="I547" s="69"/>
      <c r="J547" s="69"/>
    </row>
    <row r="548" spans="9:10" x14ac:dyDescent="0.3">
      <c r="I548" s="69"/>
      <c r="J548" s="69"/>
    </row>
    <row r="549" spans="9:10" x14ac:dyDescent="0.3">
      <c r="I549" s="69"/>
      <c r="J549" s="69"/>
    </row>
    <row r="550" spans="9:10" x14ac:dyDescent="0.3">
      <c r="I550" s="69"/>
      <c r="J550" s="69"/>
    </row>
    <row r="551" spans="9:10" x14ac:dyDescent="0.3">
      <c r="I551" s="69"/>
      <c r="J551" s="69"/>
    </row>
    <row r="552" spans="9:10" x14ac:dyDescent="0.3">
      <c r="I552" s="69"/>
      <c r="J552" s="69"/>
    </row>
    <row r="553" spans="9:10" x14ac:dyDescent="0.3">
      <c r="I553" s="69"/>
      <c r="J553" s="69"/>
    </row>
    <row r="554" spans="9:10" x14ac:dyDescent="0.3">
      <c r="I554" s="69"/>
      <c r="J554" s="69"/>
    </row>
    <row r="555" spans="9:10" x14ac:dyDescent="0.3">
      <c r="I555" s="69"/>
      <c r="J555" s="69"/>
    </row>
    <row r="556" spans="9:10" x14ac:dyDescent="0.3">
      <c r="I556" s="69"/>
      <c r="J556" s="69"/>
    </row>
    <row r="557" spans="9:10" x14ac:dyDescent="0.3">
      <c r="I557" s="69"/>
      <c r="J557" s="69"/>
    </row>
    <row r="558" spans="9:10" x14ac:dyDescent="0.3">
      <c r="I558" s="69"/>
      <c r="J558" s="69"/>
    </row>
    <row r="559" spans="9:10" x14ac:dyDescent="0.3">
      <c r="I559" s="69"/>
      <c r="J559" s="69"/>
    </row>
    <row r="560" spans="9:10" x14ac:dyDescent="0.3">
      <c r="I560" s="69"/>
      <c r="J560" s="69"/>
    </row>
    <row r="561" spans="9:10" x14ac:dyDescent="0.3">
      <c r="I561" s="69"/>
      <c r="J561" s="69"/>
    </row>
    <row r="562" spans="9:10" x14ac:dyDescent="0.3">
      <c r="I562" s="69"/>
      <c r="J562" s="69"/>
    </row>
    <row r="563" spans="9:10" x14ac:dyDescent="0.3">
      <c r="I563" s="69"/>
      <c r="J563" s="69"/>
    </row>
    <row r="564" spans="9:10" x14ac:dyDescent="0.3">
      <c r="I564" s="69"/>
      <c r="J564" s="69"/>
    </row>
    <row r="565" spans="9:10" x14ac:dyDescent="0.3">
      <c r="I565" s="69"/>
      <c r="J565" s="69"/>
    </row>
    <row r="566" spans="9:10" x14ac:dyDescent="0.3">
      <c r="I566" s="69"/>
      <c r="J566" s="69"/>
    </row>
    <row r="567" spans="9:10" x14ac:dyDescent="0.3">
      <c r="I567" s="69"/>
      <c r="J567" s="69"/>
    </row>
    <row r="568" spans="9:10" x14ac:dyDescent="0.3">
      <c r="I568" s="69"/>
      <c r="J568" s="69"/>
    </row>
    <row r="569" spans="9:10" x14ac:dyDescent="0.3">
      <c r="I569" s="69"/>
      <c r="J569" s="69"/>
    </row>
    <row r="570" spans="9:10" x14ac:dyDescent="0.3">
      <c r="I570" s="69"/>
      <c r="J570" s="69"/>
    </row>
    <row r="571" spans="9:10" x14ac:dyDescent="0.3">
      <c r="I571" s="69"/>
      <c r="J571" s="69"/>
    </row>
    <row r="572" spans="9:10" x14ac:dyDescent="0.3">
      <c r="I572" s="69"/>
      <c r="J572" s="69"/>
    </row>
    <row r="573" spans="9:10" x14ac:dyDescent="0.3">
      <c r="I573" s="69"/>
      <c r="J573" s="69"/>
    </row>
    <row r="574" spans="9:10" x14ac:dyDescent="0.3">
      <c r="I574" s="69"/>
      <c r="J574" s="69"/>
    </row>
    <row r="575" spans="9:10" x14ac:dyDescent="0.3">
      <c r="I575" s="69"/>
      <c r="J575" s="69"/>
    </row>
    <row r="576" spans="9:10" x14ac:dyDescent="0.3">
      <c r="I576" s="69"/>
      <c r="J576" s="69"/>
    </row>
    <row r="577" spans="9:10" x14ac:dyDescent="0.3">
      <c r="I577" s="69"/>
      <c r="J577" s="69"/>
    </row>
    <row r="578" spans="9:10" x14ac:dyDescent="0.3">
      <c r="I578" s="69"/>
      <c r="J578" s="69"/>
    </row>
    <row r="579" spans="9:10" x14ac:dyDescent="0.3">
      <c r="I579" s="69"/>
      <c r="J579" s="69"/>
    </row>
    <row r="580" spans="9:10" x14ac:dyDescent="0.3">
      <c r="I580" s="69"/>
      <c r="J580" s="69"/>
    </row>
    <row r="581" spans="9:10" x14ac:dyDescent="0.3">
      <c r="I581" s="69"/>
      <c r="J581" s="69"/>
    </row>
    <row r="582" spans="9:10" x14ac:dyDescent="0.3">
      <c r="I582" s="69"/>
      <c r="J582" s="69"/>
    </row>
    <row r="583" spans="9:10" x14ac:dyDescent="0.3">
      <c r="I583" s="69"/>
      <c r="J583" s="69"/>
    </row>
    <row r="584" spans="9:10" x14ac:dyDescent="0.3">
      <c r="I584" s="69"/>
      <c r="J584" s="69"/>
    </row>
    <row r="585" spans="9:10" x14ac:dyDescent="0.3">
      <c r="I585" s="69"/>
      <c r="J585" s="69"/>
    </row>
    <row r="586" spans="9:10" x14ac:dyDescent="0.3">
      <c r="I586" s="69"/>
      <c r="J586" s="69"/>
    </row>
    <row r="587" spans="9:10" x14ac:dyDescent="0.3">
      <c r="I587" s="69"/>
      <c r="J587" s="69"/>
    </row>
    <row r="588" spans="9:10" x14ac:dyDescent="0.3">
      <c r="I588" s="69"/>
      <c r="J588" s="69"/>
    </row>
    <row r="589" spans="9:10" x14ac:dyDescent="0.3">
      <c r="I589" s="69"/>
      <c r="J589" s="69"/>
    </row>
    <row r="590" spans="9:10" x14ac:dyDescent="0.3">
      <c r="I590" s="69"/>
      <c r="J590" s="69"/>
    </row>
    <row r="591" spans="9:10" x14ac:dyDescent="0.3">
      <c r="I591" s="69"/>
      <c r="J591" s="69"/>
    </row>
    <row r="592" spans="9:10" x14ac:dyDescent="0.3">
      <c r="I592" s="69"/>
      <c r="J592" s="69"/>
    </row>
    <row r="593" spans="9:10" x14ac:dyDescent="0.3">
      <c r="I593" s="69"/>
      <c r="J593" s="69"/>
    </row>
    <row r="594" spans="9:10" x14ac:dyDescent="0.3">
      <c r="I594" s="69"/>
      <c r="J594" s="69"/>
    </row>
    <row r="595" spans="9:10" x14ac:dyDescent="0.3">
      <c r="I595" s="69"/>
      <c r="J595" s="69"/>
    </row>
    <row r="596" spans="9:10" x14ac:dyDescent="0.3">
      <c r="I596" s="69"/>
      <c r="J596" s="69"/>
    </row>
    <row r="597" spans="9:10" x14ac:dyDescent="0.3">
      <c r="I597" s="69"/>
      <c r="J597" s="69"/>
    </row>
    <row r="598" spans="9:10" x14ac:dyDescent="0.3">
      <c r="I598" s="69"/>
      <c r="J598" s="69"/>
    </row>
    <row r="599" spans="9:10" x14ac:dyDescent="0.3">
      <c r="I599" s="69"/>
      <c r="J599" s="69"/>
    </row>
    <row r="600" spans="9:10" x14ac:dyDescent="0.3">
      <c r="I600" s="69"/>
      <c r="J600" s="69"/>
    </row>
    <row r="601" spans="9:10" x14ac:dyDescent="0.3">
      <c r="I601" s="69"/>
      <c r="J601" s="69"/>
    </row>
    <row r="602" spans="9:10" x14ac:dyDescent="0.3">
      <c r="I602" s="69"/>
      <c r="J602" s="69"/>
    </row>
    <row r="603" spans="9:10" x14ac:dyDescent="0.3">
      <c r="I603" s="69"/>
      <c r="J603" s="69"/>
    </row>
    <row r="604" spans="9:10" x14ac:dyDescent="0.3">
      <c r="I604" s="69"/>
      <c r="J604" s="69"/>
    </row>
    <row r="605" spans="9:10" x14ac:dyDescent="0.3">
      <c r="I605" s="69"/>
      <c r="J605" s="69"/>
    </row>
    <row r="606" spans="9:10" x14ac:dyDescent="0.3">
      <c r="I606" s="69"/>
      <c r="J606" s="69"/>
    </row>
    <row r="607" spans="9:10" x14ac:dyDescent="0.3">
      <c r="I607" s="69"/>
      <c r="J607" s="69"/>
    </row>
    <row r="608" spans="9:10" x14ac:dyDescent="0.3">
      <c r="I608" s="69"/>
      <c r="J608" s="69"/>
    </row>
    <row r="609" spans="9:10" x14ac:dyDescent="0.3">
      <c r="I609" s="69"/>
      <c r="J609" s="69"/>
    </row>
    <row r="610" spans="9:10" x14ac:dyDescent="0.3">
      <c r="I610" s="69"/>
      <c r="J610" s="69"/>
    </row>
    <row r="611" spans="9:10" x14ac:dyDescent="0.3">
      <c r="I611" s="69"/>
      <c r="J611" s="69"/>
    </row>
    <row r="612" spans="9:10" x14ac:dyDescent="0.3">
      <c r="I612" s="69"/>
      <c r="J612" s="69"/>
    </row>
    <row r="613" spans="9:10" x14ac:dyDescent="0.3">
      <c r="I613" s="69"/>
      <c r="J613" s="69"/>
    </row>
    <row r="614" spans="9:10" x14ac:dyDescent="0.3">
      <c r="I614" s="69"/>
      <c r="J614" s="69"/>
    </row>
    <row r="615" spans="9:10" x14ac:dyDescent="0.3">
      <c r="I615" s="69"/>
      <c r="J615" s="69"/>
    </row>
    <row r="616" spans="9:10" x14ac:dyDescent="0.3">
      <c r="I616" s="69"/>
      <c r="J616" s="69"/>
    </row>
    <row r="617" spans="9:10" x14ac:dyDescent="0.3">
      <c r="I617" s="69"/>
      <c r="J617" s="69"/>
    </row>
    <row r="618" spans="9:10" x14ac:dyDescent="0.3">
      <c r="I618" s="69"/>
      <c r="J618" s="69"/>
    </row>
    <row r="619" spans="9:10" x14ac:dyDescent="0.3">
      <c r="I619" s="69"/>
      <c r="J619" s="69"/>
    </row>
    <row r="620" spans="9:10" x14ac:dyDescent="0.3">
      <c r="I620" s="69"/>
      <c r="J620" s="69"/>
    </row>
    <row r="621" spans="9:10" x14ac:dyDescent="0.3">
      <c r="I621" s="69"/>
      <c r="J621" s="69"/>
    </row>
    <row r="622" spans="9:10" x14ac:dyDescent="0.3">
      <c r="I622" s="69"/>
      <c r="J622" s="69"/>
    </row>
    <row r="623" spans="9:10" x14ac:dyDescent="0.3">
      <c r="I623" s="69"/>
      <c r="J623" s="69"/>
    </row>
    <row r="624" spans="9:10" x14ac:dyDescent="0.3">
      <c r="I624" s="69"/>
      <c r="J624" s="69"/>
    </row>
    <row r="625" spans="9:10" x14ac:dyDescent="0.3">
      <c r="I625" s="69"/>
      <c r="J625" s="69"/>
    </row>
    <row r="626" spans="9:10" x14ac:dyDescent="0.3">
      <c r="I626" s="69"/>
      <c r="J626" s="69"/>
    </row>
    <row r="627" spans="9:10" x14ac:dyDescent="0.3">
      <c r="I627" s="69"/>
      <c r="J627" s="69"/>
    </row>
    <row r="628" spans="9:10" x14ac:dyDescent="0.3">
      <c r="I628" s="69"/>
      <c r="J628" s="69"/>
    </row>
    <row r="629" spans="9:10" x14ac:dyDescent="0.3">
      <c r="I629" s="69"/>
      <c r="J629" s="69"/>
    </row>
    <row r="630" spans="9:10" x14ac:dyDescent="0.3">
      <c r="I630" s="69"/>
      <c r="J630" s="69"/>
    </row>
    <row r="631" spans="9:10" x14ac:dyDescent="0.3">
      <c r="I631" s="69"/>
      <c r="J631" s="69"/>
    </row>
    <row r="632" spans="9:10" x14ac:dyDescent="0.3">
      <c r="I632" s="69"/>
      <c r="J632" s="69"/>
    </row>
    <row r="633" spans="9:10" x14ac:dyDescent="0.3">
      <c r="I633" s="69"/>
      <c r="J633" s="69"/>
    </row>
    <row r="634" spans="9:10" x14ac:dyDescent="0.3">
      <c r="I634" s="69"/>
      <c r="J634" s="69"/>
    </row>
    <row r="635" spans="9:10" x14ac:dyDescent="0.3">
      <c r="I635" s="69"/>
      <c r="J635" s="69"/>
    </row>
    <row r="636" spans="9:10" x14ac:dyDescent="0.3">
      <c r="I636" s="69"/>
      <c r="J636" s="69"/>
    </row>
    <row r="637" spans="9:10" x14ac:dyDescent="0.3">
      <c r="I637" s="69"/>
      <c r="J637" s="69"/>
    </row>
    <row r="638" spans="9:10" x14ac:dyDescent="0.3">
      <c r="I638" s="69"/>
      <c r="J638" s="69"/>
    </row>
    <row r="639" spans="9:10" x14ac:dyDescent="0.3">
      <c r="I639" s="69"/>
      <c r="J639" s="69"/>
    </row>
    <row r="640" spans="9:10" x14ac:dyDescent="0.3">
      <c r="I640" s="69"/>
      <c r="J640" s="69"/>
    </row>
    <row r="641" spans="9:10" x14ac:dyDescent="0.3">
      <c r="I641" s="69"/>
      <c r="J641" s="69"/>
    </row>
    <row r="642" spans="9:10" x14ac:dyDescent="0.3">
      <c r="I642" s="69"/>
      <c r="J642" s="69"/>
    </row>
    <row r="643" spans="9:10" x14ac:dyDescent="0.3">
      <c r="I643" s="69"/>
      <c r="J643" s="69"/>
    </row>
    <row r="644" spans="9:10" x14ac:dyDescent="0.3">
      <c r="I644" s="69"/>
      <c r="J644" s="69"/>
    </row>
    <row r="645" spans="9:10" x14ac:dyDescent="0.3">
      <c r="I645" s="69"/>
      <c r="J645" s="69"/>
    </row>
    <row r="646" spans="9:10" x14ac:dyDescent="0.3">
      <c r="I646" s="69"/>
      <c r="J646" s="69"/>
    </row>
    <row r="647" spans="9:10" x14ac:dyDescent="0.3">
      <c r="I647" s="69"/>
      <c r="J647" s="69"/>
    </row>
    <row r="648" spans="9:10" x14ac:dyDescent="0.3">
      <c r="I648" s="69"/>
      <c r="J648" s="69"/>
    </row>
    <row r="649" spans="9:10" x14ac:dyDescent="0.3">
      <c r="I649" s="69"/>
      <c r="J649" s="69"/>
    </row>
    <row r="650" spans="9:10" x14ac:dyDescent="0.3">
      <c r="I650" s="69"/>
      <c r="J650" s="69"/>
    </row>
    <row r="651" spans="9:10" x14ac:dyDescent="0.3">
      <c r="I651" s="69"/>
      <c r="J651" s="69"/>
    </row>
    <row r="652" spans="9:10" x14ac:dyDescent="0.3">
      <c r="I652" s="69"/>
      <c r="J652" s="69"/>
    </row>
    <row r="653" spans="9:10" x14ac:dyDescent="0.3">
      <c r="I653" s="69"/>
      <c r="J653" s="69"/>
    </row>
    <row r="654" spans="9:10" x14ac:dyDescent="0.3">
      <c r="I654" s="69"/>
      <c r="J654" s="69"/>
    </row>
    <row r="655" spans="9:10" x14ac:dyDescent="0.3">
      <c r="I655" s="69"/>
      <c r="J655" s="69"/>
    </row>
    <row r="656" spans="9:10" x14ac:dyDescent="0.3">
      <c r="I656" s="69"/>
      <c r="J656" s="69"/>
    </row>
    <row r="657" spans="9:10" x14ac:dyDescent="0.3">
      <c r="I657" s="69"/>
      <c r="J657" s="69"/>
    </row>
    <row r="658" spans="9:10" x14ac:dyDescent="0.3">
      <c r="I658" s="69"/>
      <c r="J658" s="69"/>
    </row>
    <row r="659" spans="9:10" x14ac:dyDescent="0.3">
      <c r="I659" s="69"/>
      <c r="J659" s="69"/>
    </row>
    <row r="660" spans="9:10" x14ac:dyDescent="0.3">
      <c r="I660" s="69"/>
      <c r="J660" s="69"/>
    </row>
    <row r="661" spans="9:10" x14ac:dyDescent="0.3">
      <c r="I661" s="69"/>
      <c r="J661" s="69"/>
    </row>
    <row r="662" spans="9:10" x14ac:dyDescent="0.3">
      <c r="I662" s="69"/>
      <c r="J662" s="69"/>
    </row>
    <row r="663" spans="9:10" x14ac:dyDescent="0.3">
      <c r="I663" s="69"/>
      <c r="J663" s="69"/>
    </row>
    <row r="664" spans="9:10" x14ac:dyDescent="0.3">
      <c r="I664" s="69"/>
      <c r="J664" s="69"/>
    </row>
    <row r="665" spans="9:10" x14ac:dyDescent="0.3">
      <c r="I665" s="69"/>
      <c r="J665" s="69"/>
    </row>
    <row r="666" spans="9:10" x14ac:dyDescent="0.3">
      <c r="I666" s="69"/>
      <c r="J666" s="69"/>
    </row>
    <row r="667" spans="9:10" x14ac:dyDescent="0.3">
      <c r="I667" s="69"/>
      <c r="J667" s="69"/>
    </row>
    <row r="668" spans="9:10" x14ac:dyDescent="0.3">
      <c r="I668" s="69"/>
      <c r="J668" s="69"/>
    </row>
    <row r="669" spans="9:10" x14ac:dyDescent="0.3">
      <c r="I669" s="69"/>
      <c r="J669" s="69"/>
    </row>
    <row r="670" spans="9:10" x14ac:dyDescent="0.3">
      <c r="I670" s="69"/>
      <c r="J670" s="69"/>
    </row>
    <row r="671" spans="9:10" x14ac:dyDescent="0.3">
      <c r="I671" s="69"/>
      <c r="J671" s="69"/>
    </row>
    <row r="672" spans="9:10" x14ac:dyDescent="0.3">
      <c r="I672" s="69"/>
      <c r="J672" s="69"/>
    </row>
    <row r="673" spans="9:10" x14ac:dyDescent="0.3">
      <c r="I673" s="69"/>
      <c r="J673" s="69"/>
    </row>
    <row r="674" spans="9:10" x14ac:dyDescent="0.3">
      <c r="I674" s="69"/>
      <c r="J674" s="69"/>
    </row>
    <row r="675" spans="9:10" x14ac:dyDescent="0.3">
      <c r="I675" s="69"/>
      <c r="J675" s="69"/>
    </row>
    <row r="676" spans="9:10" x14ac:dyDescent="0.3">
      <c r="I676" s="69"/>
      <c r="J676" s="69"/>
    </row>
    <row r="677" spans="9:10" x14ac:dyDescent="0.3">
      <c r="I677" s="69"/>
      <c r="J677" s="69"/>
    </row>
    <row r="678" spans="9:10" x14ac:dyDescent="0.3">
      <c r="I678" s="69"/>
      <c r="J678" s="69"/>
    </row>
    <row r="679" spans="9:10" x14ac:dyDescent="0.3">
      <c r="I679" s="69"/>
      <c r="J679" s="69"/>
    </row>
    <row r="680" spans="9:10" x14ac:dyDescent="0.3">
      <c r="I680" s="69"/>
      <c r="J680" s="69"/>
    </row>
    <row r="681" spans="9:10" x14ac:dyDescent="0.3">
      <c r="I681" s="69"/>
      <c r="J681" s="69"/>
    </row>
    <row r="682" spans="9:10" x14ac:dyDescent="0.3">
      <c r="I682" s="69"/>
      <c r="J682" s="69"/>
    </row>
    <row r="683" spans="9:10" x14ac:dyDescent="0.3">
      <c r="I683" s="69"/>
      <c r="J683" s="69"/>
    </row>
    <row r="684" spans="9:10" x14ac:dyDescent="0.3">
      <c r="I684" s="69"/>
      <c r="J684" s="69"/>
    </row>
    <row r="685" spans="9:10" x14ac:dyDescent="0.3">
      <c r="I685" s="69"/>
      <c r="J685" s="69"/>
    </row>
    <row r="686" spans="9:10" x14ac:dyDescent="0.3">
      <c r="I686" s="69"/>
      <c r="J686" s="69"/>
    </row>
    <row r="687" spans="9:10" x14ac:dyDescent="0.3">
      <c r="I687" s="69"/>
      <c r="J687" s="69"/>
    </row>
    <row r="688" spans="9:10" x14ac:dyDescent="0.3">
      <c r="I688" s="69"/>
      <c r="J688" s="69"/>
    </row>
    <row r="689" spans="9:10" x14ac:dyDescent="0.3">
      <c r="I689" s="69"/>
      <c r="J689" s="69"/>
    </row>
    <row r="690" spans="9:10" x14ac:dyDescent="0.3">
      <c r="I690" s="69"/>
      <c r="J690" s="69"/>
    </row>
    <row r="691" spans="9:10" x14ac:dyDescent="0.3">
      <c r="I691" s="69"/>
      <c r="J691" s="69"/>
    </row>
    <row r="692" spans="9:10" x14ac:dyDescent="0.3">
      <c r="I692" s="69"/>
      <c r="J692" s="69"/>
    </row>
    <row r="693" spans="9:10" x14ac:dyDescent="0.3">
      <c r="I693" s="69"/>
      <c r="J693" s="69"/>
    </row>
    <row r="694" spans="9:10" x14ac:dyDescent="0.3">
      <c r="I694" s="69"/>
      <c r="J694" s="69"/>
    </row>
    <row r="695" spans="9:10" x14ac:dyDescent="0.3">
      <c r="I695" s="69"/>
      <c r="J695" s="69"/>
    </row>
    <row r="696" spans="9:10" x14ac:dyDescent="0.3">
      <c r="I696" s="69"/>
      <c r="J696" s="69"/>
    </row>
    <row r="697" spans="9:10" x14ac:dyDescent="0.3">
      <c r="I697" s="69"/>
      <c r="J697" s="69"/>
    </row>
    <row r="698" spans="9:10" x14ac:dyDescent="0.3">
      <c r="I698" s="69"/>
      <c r="J698" s="69"/>
    </row>
    <row r="699" spans="9:10" x14ac:dyDescent="0.3">
      <c r="I699" s="69"/>
      <c r="J699" s="69"/>
    </row>
    <row r="700" spans="9:10" x14ac:dyDescent="0.3">
      <c r="I700" s="69"/>
      <c r="J700" s="69"/>
    </row>
    <row r="701" spans="9:10" x14ac:dyDescent="0.3">
      <c r="I701" s="69"/>
      <c r="J701" s="69"/>
    </row>
    <row r="702" spans="9:10" x14ac:dyDescent="0.3">
      <c r="I702" s="69"/>
      <c r="J702" s="69"/>
    </row>
    <row r="703" spans="9:10" x14ac:dyDescent="0.3">
      <c r="I703" s="69"/>
      <c r="J703" s="69"/>
    </row>
    <row r="704" spans="9:10" x14ac:dyDescent="0.3">
      <c r="I704" s="69"/>
      <c r="J704" s="69"/>
    </row>
    <row r="705" spans="9:10" x14ac:dyDescent="0.3">
      <c r="I705" s="69"/>
      <c r="J705" s="69"/>
    </row>
    <row r="706" spans="9:10" x14ac:dyDescent="0.3">
      <c r="I706" s="69"/>
      <c r="J706" s="69"/>
    </row>
    <row r="707" spans="9:10" x14ac:dyDescent="0.3">
      <c r="I707" s="69"/>
      <c r="J707" s="69"/>
    </row>
    <row r="708" spans="9:10" x14ac:dyDescent="0.3">
      <c r="I708" s="69"/>
      <c r="J708" s="69"/>
    </row>
    <row r="709" spans="9:10" x14ac:dyDescent="0.3">
      <c r="I709" s="69"/>
      <c r="J709" s="69"/>
    </row>
    <row r="710" spans="9:10" x14ac:dyDescent="0.3">
      <c r="I710" s="69"/>
      <c r="J710" s="69"/>
    </row>
    <row r="711" spans="9:10" x14ac:dyDescent="0.3">
      <c r="I711" s="69"/>
      <c r="J711" s="69"/>
    </row>
    <row r="712" spans="9:10" x14ac:dyDescent="0.3">
      <c r="I712" s="69"/>
      <c r="J712" s="69"/>
    </row>
    <row r="713" spans="9:10" x14ac:dyDescent="0.3">
      <c r="I713" s="69"/>
      <c r="J713" s="69"/>
    </row>
    <row r="714" spans="9:10" x14ac:dyDescent="0.3">
      <c r="I714" s="69"/>
      <c r="J714" s="69"/>
    </row>
    <row r="715" spans="9:10" x14ac:dyDescent="0.3">
      <c r="I715" s="69"/>
      <c r="J715" s="69"/>
    </row>
    <row r="716" spans="9:10" x14ac:dyDescent="0.3">
      <c r="I716" s="69"/>
      <c r="J716" s="69"/>
    </row>
    <row r="717" spans="9:10" x14ac:dyDescent="0.3">
      <c r="I717" s="69"/>
      <c r="J717" s="69"/>
    </row>
    <row r="718" spans="9:10" x14ac:dyDescent="0.3">
      <c r="I718" s="69"/>
      <c r="J718" s="69"/>
    </row>
    <row r="719" spans="9:10" x14ac:dyDescent="0.3">
      <c r="I719" s="69"/>
      <c r="J719" s="69"/>
    </row>
    <row r="720" spans="9:10" x14ac:dyDescent="0.3">
      <c r="I720" s="69"/>
      <c r="J720" s="69"/>
    </row>
    <row r="721" spans="9:10" x14ac:dyDescent="0.3">
      <c r="I721" s="69"/>
      <c r="J721" s="69"/>
    </row>
    <row r="722" spans="9:10" x14ac:dyDescent="0.3">
      <c r="I722" s="69"/>
      <c r="J722" s="69"/>
    </row>
    <row r="723" spans="9:10" x14ac:dyDescent="0.3">
      <c r="I723" s="69"/>
      <c r="J723" s="69"/>
    </row>
    <row r="724" spans="9:10" x14ac:dyDescent="0.3">
      <c r="I724" s="69"/>
      <c r="J724" s="69"/>
    </row>
    <row r="725" spans="9:10" x14ac:dyDescent="0.3">
      <c r="I725" s="69"/>
      <c r="J725" s="69"/>
    </row>
    <row r="726" spans="9:10" x14ac:dyDescent="0.3">
      <c r="I726" s="69"/>
      <c r="J726" s="69"/>
    </row>
    <row r="727" spans="9:10" x14ac:dyDescent="0.3">
      <c r="I727" s="69"/>
      <c r="J727" s="69"/>
    </row>
    <row r="728" spans="9:10" x14ac:dyDescent="0.3">
      <c r="I728" s="69"/>
      <c r="J728" s="69"/>
    </row>
    <row r="729" spans="9:10" x14ac:dyDescent="0.3">
      <c r="I729" s="69"/>
      <c r="J729" s="69"/>
    </row>
    <row r="730" spans="9:10" x14ac:dyDescent="0.3">
      <c r="I730" s="69"/>
      <c r="J730" s="69"/>
    </row>
    <row r="731" spans="9:10" x14ac:dyDescent="0.3">
      <c r="I731" s="69"/>
      <c r="J731" s="69"/>
    </row>
    <row r="732" spans="9:10" x14ac:dyDescent="0.3">
      <c r="I732" s="69"/>
      <c r="J732" s="69"/>
    </row>
    <row r="733" spans="9:10" x14ac:dyDescent="0.3">
      <c r="I733" s="69"/>
      <c r="J733" s="69"/>
    </row>
    <row r="734" spans="9:10" x14ac:dyDescent="0.3">
      <c r="I734" s="69"/>
      <c r="J734" s="69"/>
    </row>
    <row r="735" spans="9:10" x14ac:dyDescent="0.3">
      <c r="I735" s="69"/>
      <c r="J735" s="69"/>
    </row>
    <row r="736" spans="9:10" x14ac:dyDescent="0.3">
      <c r="I736" s="69"/>
      <c r="J736" s="69"/>
    </row>
    <row r="737" spans="9:10" x14ac:dyDescent="0.3">
      <c r="I737" s="69"/>
      <c r="J737" s="69"/>
    </row>
    <row r="738" spans="9:10" x14ac:dyDescent="0.3">
      <c r="I738" s="69"/>
      <c r="J738" s="69"/>
    </row>
    <row r="739" spans="9:10" x14ac:dyDescent="0.3">
      <c r="I739" s="69"/>
      <c r="J739" s="69"/>
    </row>
    <row r="740" spans="9:10" x14ac:dyDescent="0.3">
      <c r="I740" s="69"/>
      <c r="J740" s="69"/>
    </row>
    <row r="741" spans="9:10" x14ac:dyDescent="0.3">
      <c r="I741" s="69"/>
      <c r="J741" s="69"/>
    </row>
    <row r="742" spans="9:10" x14ac:dyDescent="0.3">
      <c r="I742" s="69"/>
      <c r="J742" s="69"/>
    </row>
    <row r="743" spans="9:10" x14ac:dyDescent="0.3">
      <c r="I743" s="69"/>
      <c r="J743" s="69"/>
    </row>
    <row r="744" spans="9:10" x14ac:dyDescent="0.3">
      <c r="I744" s="69"/>
      <c r="J744" s="69"/>
    </row>
    <row r="745" spans="9:10" x14ac:dyDescent="0.3">
      <c r="I745" s="69"/>
      <c r="J745" s="69"/>
    </row>
    <row r="746" spans="9:10" x14ac:dyDescent="0.3">
      <c r="I746" s="69"/>
      <c r="J746" s="69"/>
    </row>
    <row r="747" spans="9:10" x14ac:dyDescent="0.3">
      <c r="I747" s="69"/>
      <c r="J747" s="69"/>
    </row>
    <row r="748" spans="9:10" x14ac:dyDescent="0.3">
      <c r="I748" s="69"/>
      <c r="J748" s="69"/>
    </row>
    <row r="749" spans="9:10" x14ac:dyDescent="0.3">
      <c r="I749" s="69"/>
      <c r="J749" s="69"/>
    </row>
    <row r="750" spans="9:10" x14ac:dyDescent="0.3">
      <c r="I750" s="69"/>
      <c r="J750" s="69"/>
    </row>
    <row r="751" spans="9:10" x14ac:dyDescent="0.3">
      <c r="I751" s="69"/>
      <c r="J751" s="69"/>
    </row>
    <row r="752" spans="9:10" x14ac:dyDescent="0.3">
      <c r="I752" s="69"/>
      <c r="J752" s="69"/>
    </row>
    <row r="753" spans="9:10" x14ac:dyDescent="0.3">
      <c r="I753" s="69"/>
      <c r="J753" s="69"/>
    </row>
    <row r="754" spans="9:10" x14ac:dyDescent="0.3">
      <c r="I754" s="69"/>
      <c r="J754" s="69"/>
    </row>
    <row r="755" spans="9:10" x14ac:dyDescent="0.3">
      <c r="I755" s="69"/>
      <c r="J755" s="69"/>
    </row>
    <row r="756" spans="9:10" x14ac:dyDescent="0.3">
      <c r="I756" s="69"/>
      <c r="J756" s="69"/>
    </row>
    <row r="757" spans="9:10" x14ac:dyDescent="0.3">
      <c r="I757" s="69"/>
      <c r="J757" s="69"/>
    </row>
    <row r="758" spans="9:10" x14ac:dyDescent="0.3">
      <c r="I758" s="69"/>
      <c r="J758" s="69"/>
    </row>
    <row r="759" spans="9:10" x14ac:dyDescent="0.3">
      <c r="I759" s="69"/>
      <c r="J759" s="69"/>
    </row>
    <row r="760" spans="9:10" x14ac:dyDescent="0.3">
      <c r="I760" s="69"/>
      <c r="J760" s="69"/>
    </row>
    <row r="761" spans="9:10" x14ac:dyDescent="0.3">
      <c r="I761" s="69"/>
      <c r="J761" s="69"/>
    </row>
    <row r="762" spans="9:10" x14ac:dyDescent="0.3">
      <c r="I762" s="69"/>
      <c r="J762" s="69"/>
    </row>
    <row r="763" spans="9:10" x14ac:dyDescent="0.3">
      <c r="I763" s="69"/>
      <c r="J763" s="69"/>
    </row>
    <row r="764" spans="9:10" x14ac:dyDescent="0.3">
      <c r="I764" s="69"/>
      <c r="J764" s="69"/>
    </row>
    <row r="765" spans="9:10" x14ac:dyDescent="0.3">
      <c r="I765" s="69"/>
      <c r="J765" s="69"/>
    </row>
    <row r="766" spans="9:10" x14ac:dyDescent="0.3">
      <c r="I766" s="69"/>
      <c r="J766" s="69"/>
    </row>
    <row r="767" spans="9:10" x14ac:dyDescent="0.3">
      <c r="I767" s="69"/>
      <c r="J767" s="69"/>
    </row>
    <row r="768" spans="9:10" x14ac:dyDescent="0.3">
      <c r="I768" s="69"/>
      <c r="J768" s="69"/>
    </row>
    <row r="769" spans="9:10" x14ac:dyDescent="0.3">
      <c r="I769" s="69"/>
      <c r="J769" s="69"/>
    </row>
    <row r="770" spans="9:10" x14ac:dyDescent="0.3">
      <c r="I770" s="69"/>
      <c r="J770" s="69"/>
    </row>
    <row r="771" spans="9:10" x14ac:dyDescent="0.3">
      <c r="I771" s="69"/>
      <c r="J771" s="69"/>
    </row>
    <row r="772" spans="9:10" x14ac:dyDescent="0.3">
      <c r="I772" s="69"/>
      <c r="J772" s="69"/>
    </row>
    <row r="773" spans="9:10" x14ac:dyDescent="0.3">
      <c r="I773" s="69"/>
      <c r="J773" s="69"/>
    </row>
    <row r="774" spans="9:10" x14ac:dyDescent="0.3">
      <c r="I774" s="69"/>
      <c r="J774" s="69"/>
    </row>
    <row r="775" spans="9:10" x14ac:dyDescent="0.3">
      <c r="I775" s="69"/>
      <c r="J775" s="69"/>
    </row>
    <row r="776" spans="9:10" x14ac:dyDescent="0.3">
      <c r="I776" s="69"/>
      <c r="J776" s="69"/>
    </row>
    <row r="777" spans="9:10" x14ac:dyDescent="0.3">
      <c r="I777" s="69"/>
      <c r="J777" s="69"/>
    </row>
    <row r="778" spans="9:10" x14ac:dyDescent="0.3">
      <c r="I778" s="69"/>
      <c r="J778" s="69"/>
    </row>
    <row r="779" spans="9:10" x14ac:dyDescent="0.3">
      <c r="I779" s="69"/>
      <c r="J779" s="69"/>
    </row>
    <row r="780" spans="9:10" x14ac:dyDescent="0.3">
      <c r="I780" s="69"/>
      <c r="J780" s="69"/>
    </row>
    <row r="781" spans="9:10" x14ac:dyDescent="0.3">
      <c r="I781" s="69"/>
      <c r="J781" s="69"/>
    </row>
    <row r="782" spans="9:10" x14ac:dyDescent="0.3">
      <c r="I782" s="69"/>
      <c r="J782" s="69"/>
    </row>
    <row r="783" spans="9:10" x14ac:dyDescent="0.3">
      <c r="I783" s="69"/>
      <c r="J783" s="69"/>
    </row>
    <row r="784" spans="9:10" x14ac:dyDescent="0.3">
      <c r="I784" s="69"/>
      <c r="J784" s="69"/>
    </row>
    <row r="785" spans="9:10" x14ac:dyDescent="0.3">
      <c r="I785" s="69"/>
      <c r="J785" s="69"/>
    </row>
    <row r="786" spans="9:10" x14ac:dyDescent="0.3">
      <c r="I786" s="69"/>
      <c r="J786" s="69"/>
    </row>
    <row r="787" spans="9:10" x14ac:dyDescent="0.3">
      <c r="I787" s="69"/>
      <c r="J787" s="69"/>
    </row>
    <row r="788" spans="9:10" x14ac:dyDescent="0.3">
      <c r="I788" s="69"/>
      <c r="J788" s="69"/>
    </row>
    <row r="789" spans="9:10" x14ac:dyDescent="0.3">
      <c r="I789" s="69"/>
      <c r="J789" s="69"/>
    </row>
    <row r="790" spans="9:10" x14ac:dyDescent="0.3">
      <c r="I790" s="69"/>
      <c r="J790" s="69"/>
    </row>
    <row r="791" spans="9:10" x14ac:dyDescent="0.3">
      <c r="I791" s="69"/>
      <c r="J791" s="69"/>
    </row>
    <row r="792" spans="9:10" x14ac:dyDescent="0.3">
      <c r="I792" s="69"/>
      <c r="J792" s="69"/>
    </row>
    <row r="793" spans="9:10" x14ac:dyDescent="0.3">
      <c r="I793" s="69"/>
      <c r="J793" s="69"/>
    </row>
    <row r="794" spans="9:10" x14ac:dyDescent="0.3">
      <c r="I794" s="69"/>
      <c r="J794" s="69"/>
    </row>
    <row r="795" spans="9:10" x14ac:dyDescent="0.3">
      <c r="I795" s="69"/>
      <c r="J795" s="69"/>
    </row>
    <row r="796" spans="9:10" x14ac:dyDescent="0.3">
      <c r="I796" s="69"/>
      <c r="J796" s="69"/>
    </row>
    <row r="797" spans="9:10" x14ac:dyDescent="0.3">
      <c r="I797" s="69"/>
      <c r="J797" s="69"/>
    </row>
    <row r="798" spans="9:10" x14ac:dyDescent="0.3">
      <c r="I798" s="69"/>
      <c r="J798" s="69"/>
    </row>
    <row r="799" spans="9:10" x14ac:dyDescent="0.3">
      <c r="I799" s="69"/>
      <c r="J799" s="69"/>
    </row>
    <row r="800" spans="9:10" x14ac:dyDescent="0.3">
      <c r="I800" s="69"/>
      <c r="J800" s="69"/>
    </row>
    <row r="801" spans="9:10" x14ac:dyDescent="0.3">
      <c r="I801" s="69"/>
      <c r="J801" s="69"/>
    </row>
    <row r="802" spans="9:10" x14ac:dyDescent="0.3">
      <c r="I802" s="69"/>
      <c r="J802" s="69"/>
    </row>
    <row r="803" spans="9:10" x14ac:dyDescent="0.3">
      <c r="I803" s="69"/>
      <c r="J803" s="69"/>
    </row>
    <row r="804" spans="9:10" x14ac:dyDescent="0.3">
      <c r="I804" s="69"/>
      <c r="J804" s="69"/>
    </row>
    <row r="805" spans="9:10" x14ac:dyDescent="0.3">
      <c r="I805" s="69"/>
      <c r="J805" s="69"/>
    </row>
    <row r="806" spans="9:10" x14ac:dyDescent="0.3">
      <c r="I806" s="69"/>
      <c r="J806" s="69"/>
    </row>
    <row r="807" spans="9:10" x14ac:dyDescent="0.3">
      <c r="I807" s="69"/>
      <c r="J807" s="69"/>
    </row>
    <row r="808" spans="9:10" x14ac:dyDescent="0.3">
      <c r="I808" s="69"/>
      <c r="J808" s="69"/>
    </row>
    <row r="809" spans="9:10" x14ac:dyDescent="0.3">
      <c r="I809" s="69"/>
      <c r="J809" s="69"/>
    </row>
    <row r="810" spans="9:10" x14ac:dyDescent="0.3">
      <c r="I810" s="69"/>
      <c r="J810" s="69"/>
    </row>
    <row r="811" spans="9:10" x14ac:dyDescent="0.3">
      <c r="I811" s="69"/>
      <c r="J811" s="69"/>
    </row>
    <row r="812" spans="9:10" x14ac:dyDescent="0.3">
      <c r="I812" s="69"/>
      <c r="J812" s="69"/>
    </row>
    <row r="813" spans="9:10" x14ac:dyDescent="0.3">
      <c r="I813" s="69"/>
      <c r="J813" s="69"/>
    </row>
    <row r="814" spans="9:10" x14ac:dyDescent="0.3">
      <c r="I814" s="69"/>
      <c r="J814" s="69"/>
    </row>
    <row r="815" spans="9:10" x14ac:dyDescent="0.3">
      <c r="I815" s="69"/>
      <c r="J815" s="69"/>
    </row>
    <row r="816" spans="9:10" x14ac:dyDescent="0.3">
      <c r="I816" s="69"/>
      <c r="J816" s="69"/>
    </row>
    <row r="817" spans="9:10" x14ac:dyDescent="0.3">
      <c r="I817" s="69"/>
      <c r="J817" s="69"/>
    </row>
    <row r="818" spans="9:10" x14ac:dyDescent="0.3">
      <c r="I818" s="69"/>
      <c r="J818" s="69"/>
    </row>
    <row r="819" spans="9:10" x14ac:dyDescent="0.3">
      <c r="I819" s="69"/>
      <c r="J819" s="69"/>
    </row>
    <row r="820" spans="9:10" x14ac:dyDescent="0.3">
      <c r="I820" s="69"/>
      <c r="J820" s="69"/>
    </row>
    <row r="821" spans="9:10" x14ac:dyDescent="0.3">
      <c r="I821" s="69"/>
      <c r="J821" s="69"/>
    </row>
    <row r="822" spans="9:10" x14ac:dyDescent="0.3">
      <c r="I822" s="69"/>
      <c r="J822" s="69"/>
    </row>
    <row r="823" spans="9:10" x14ac:dyDescent="0.3">
      <c r="I823" s="69"/>
      <c r="J823" s="69"/>
    </row>
    <row r="824" spans="9:10" x14ac:dyDescent="0.3">
      <c r="I824" s="69"/>
      <c r="J824" s="69"/>
    </row>
    <row r="825" spans="9:10" x14ac:dyDescent="0.3">
      <c r="I825" s="69"/>
      <c r="J825" s="69"/>
    </row>
    <row r="826" spans="9:10" x14ac:dyDescent="0.3">
      <c r="I826" s="69"/>
      <c r="J826" s="69"/>
    </row>
    <row r="827" spans="9:10" x14ac:dyDescent="0.3">
      <c r="I827" s="69"/>
      <c r="J827" s="69"/>
    </row>
    <row r="828" spans="9:10" x14ac:dyDescent="0.3">
      <c r="I828" s="69"/>
      <c r="J828" s="69"/>
    </row>
    <row r="829" spans="9:10" x14ac:dyDescent="0.3">
      <c r="I829" s="69"/>
      <c r="J829" s="69"/>
    </row>
    <row r="830" spans="9:10" x14ac:dyDescent="0.3">
      <c r="I830" s="69"/>
      <c r="J830" s="69"/>
    </row>
    <row r="831" spans="9:10" x14ac:dyDescent="0.3">
      <c r="I831" s="69"/>
      <c r="J831" s="69"/>
    </row>
    <row r="832" spans="9:10" x14ac:dyDescent="0.3">
      <c r="I832" s="69"/>
      <c r="J832" s="69"/>
    </row>
    <row r="833" spans="9:10" x14ac:dyDescent="0.3">
      <c r="I833" s="69"/>
      <c r="J833" s="69"/>
    </row>
    <row r="834" spans="9:10" x14ac:dyDescent="0.3">
      <c r="I834" s="69"/>
      <c r="J834" s="69"/>
    </row>
    <row r="835" spans="9:10" x14ac:dyDescent="0.3">
      <c r="I835" s="69"/>
      <c r="J835" s="69"/>
    </row>
    <row r="836" spans="9:10" x14ac:dyDescent="0.3">
      <c r="I836" s="69"/>
      <c r="J836" s="69"/>
    </row>
    <row r="837" spans="9:10" x14ac:dyDescent="0.3">
      <c r="I837" s="69"/>
      <c r="J837" s="69"/>
    </row>
    <row r="838" spans="9:10" x14ac:dyDescent="0.3">
      <c r="I838" s="69"/>
      <c r="J838" s="69"/>
    </row>
    <row r="839" spans="9:10" x14ac:dyDescent="0.3">
      <c r="I839" s="69"/>
      <c r="J839" s="69"/>
    </row>
    <row r="840" spans="9:10" x14ac:dyDescent="0.3">
      <c r="I840" s="69"/>
      <c r="J840" s="69"/>
    </row>
    <row r="841" spans="9:10" x14ac:dyDescent="0.3">
      <c r="I841" s="69"/>
      <c r="J841" s="69"/>
    </row>
    <row r="842" spans="9:10" x14ac:dyDescent="0.3">
      <c r="I842" s="69"/>
      <c r="J842" s="69"/>
    </row>
    <row r="843" spans="9:10" x14ac:dyDescent="0.3">
      <c r="I843" s="69"/>
      <c r="J843" s="69"/>
    </row>
    <row r="844" spans="9:10" x14ac:dyDescent="0.3">
      <c r="I844" s="69"/>
      <c r="J844" s="69"/>
    </row>
    <row r="845" spans="9:10" x14ac:dyDescent="0.3">
      <c r="I845" s="69"/>
      <c r="J845" s="69"/>
    </row>
    <row r="846" spans="9:10" x14ac:dyDescent="0.3">
      <c r="I846" s="69"/>
      <c r="J846" s="69"/>
    </row>
    <row r="847" spans="9:10" x14ac:dyDescent="0.3">
      <c r="I847" s="69"/>
      <c r="J847" s="69"/>
    </row>
    <row r="848" spans="9:10" x14ac:dyDescent="0.3">
      <c r="I848" s="69"/>
      <c r="J848" s="69"/>
    </row>
    <row r="849" spans="9:10" x14ac:dyDescent="0.3">
      <c r="I849" s="69"/>
      <c r="J849" s="69"/>
    </row>
    <row r="850" spans="9:10" x14ac:dyDescent="0.3">
      <c r="I850" s="69"/>
      <c r="J850" s="69"/>
    </row>
    <row r="851" spans="9:10" x14ac:dyDescent="0.3">
      <c r="I851" s="69"/>
      <c r="J851" s="69"/>
    </row>
    <row r="852" spans="9:10" x14ac:dyDescent="0.3">
      <c r="I852" s="69"/>
      <c r="J852" s="69"/>
    </row>
    <row r="853" spans="9:10" x14ac:dyDescent="0.3">
      <c r="I853" s="69"/>
      <c r="J853" s="69"/>
    </row>
    <row r="854" spans="9:10" x14ac:dyDescent="0.3">
      <c r="I854" s="69"/>
      <c r="J854" s="69"/>
    </row>
    <row r="855" spans="9:10" x14ac:dyDescent="0.3">
      <c r="I855" s="69"/>
      <c r="J855" s="69"/>
    </row>
    <row r="856" spans="9:10" x14ac:dyDescent="0.3">
      <c r="I856" s="69"/>
      <c r="J856" s="69"/>
    </row>
    <row r="857" spans="9:10" x14ac:dyDescent="0.3">
      <c r="I857" s="69"/>
      <c r="J857" s="69"/>
    </row>
    <row r="858" spans="9:10" x14ac:dyDescent="0.3">
      <c r="I858" s="69"/>
      <c r="J858" s="69"/>
    </row>
    <row r="859" spans="9:10" x14ac:dyDescent="0.3">
      <c r="I859" s="69"/>
      <c r="J859" s="69"/>
    </row>
    <row r="860" spans="9:10" x14ac:dyDescent="0.3">
      <c r="I860" s="69"/>
      <c r="J860" s="69"/>
    </row>
    <row r="861" spans="9:10" x14ac:dyDescent="0.3">
      <c r="I861" s="69"/>
      <c r="J861" s="69"/>
    </row>
    <row r="862" spans="9:10" x14ac:dyDescent="0.3">
      <c r="I862" s="69"/>
      <c r="J862" s="69"/>
    </row>
    <row r="863" spans="9:10" x14ac:dyDescent="0.3">
      <c r="I863" s="69"/>
      <c r="J863" s="69"/>
    </row>
    <row r="864" spans="9:10" x14ac:dyDescent="0.3">
      <c r="I864" s="69"/>
      <c r="J864" s="69"/>
    </row>
    <row r="865" spans="9:10" x14ac:dyDescent="0.3">
      <c r="I865" s="69"/>
      <c r="J865" s="69"/>
    </row>
    <row r="866" spans="9:10" x14ac:dyDescent="0.3">
      <c r="I866" s="69"/>
      <c r="J866" s="69"/>
    </row>
    <row r="867" spans="9:10" x14ac:dyDescent="0.3">
      <c r="I867" s="69"/>
      <c r="J867" s="69"/>
    </row>
    <row r="868" spans="9:10" x14ac:dyDescent="0.3">
      <c r="I868" s="69"/>
      <c r="J868" s="69"/>
    </row>
    <row r="869" spans="9:10" x14ac:dyDescent="0.3">
      <c r="I869" s="69"/>
      <c r="J869" s="69"/>
    </row>
    <row r="870" spans="9:10" x14ac:dyDescent="0.3">
      <c r="I870" s="69"/>
      <c r="J870" s="69"/>
    </row>
    <row r="871" spans="9:10" x14ac:dyDescent="0.3">
      <c r="I871" s="69"/>
      <c r="J871" s="69"/>
    </row>
    <row r="872" spans="9:10" x14ac:dyDescent="0.3">
      <c r="I872" s="69"/>
      <c r="J872" s="69"/>
    </row>
    <row r="873" spans="9:10" x14ac:dyDescent="0.3">
      <c r="I873" s="69"/>
      <c r="J873" s="69"/>
    </row>
    <row r="874" spans="9:10" x14ac:dyDescent="0.3">
      <c r="I874" s="69"/>
      <c r="J874" s="69"/>
    </row>
    <row r="875" spans="9:10" x14ac:dyDescent="0.3">
      <c r="I875" s="69"/>
      <c r="J875" s="69"/>
    </row>
    <row r="876" spans="9:10" x14ac:dyDescent="0.3">
      <c r="I876" s="69"/>
      <c r="J876" s="69"/>
    </row>
    <row r="877" spans="9:10" x14ac:dyDescent="0.3">
      <c r="I877" s="69"/>
      <c r="J877" s="69"/>
    </row>
    <row r="878" spans="9:10" x14ac:dyDescent="0.3">
      <c r="I878" s="69"/>
      <c r="J878" s="69"/>
    </row>
    <row r="879" spans="9:10" x14ac:dyDescent="0.3">
      <c r="I879" s="69"/>
      <c r="J879" s="69"/>
    </row>
    <row r="880" spans="9:10" x14ac:dyDescent="0.3">
      <c r="I880" s="69"/>
      <c r="J880" s="69"/>
    </row>
    <row r="881" spans="9:10" x14ac:dyDescent="0.3">
      <c r="I881" s="69"/>
      <c r="J881" s="69"/>
    </row>
    <row r="882" spans="9:10" x14ac:dyDescent="0.3">
      <c r="I882" s="69"/>
      <c r="J882" s="69"/>
    </row>
    <row r="883" spans="9:10" x14ac:dyDescent="0.3">
      <c r="I883" s="69"/>
      <c r="J883" s="69"/>
    </row>
    <row r="884" spans="9:10" x14ac:dyDescent="0.3">
      <c r="I884" s="69"/>
      <c r="J884" s="69"/>
    </row>
    <row r="885" spans="9:10" x14ac:dyDescent="0.3">
      <c r="I885" s="69"/>
      <c r="J885" s="69"/>
    </row>
    <row r="886" spans="9:10" x14ac:dyDescent="0.3">
      <c r="I886" s="69"/>
      <c r="J886" s="69"/>
    </row>
    <row r="887" spans="9:10" x14ac:dyDescent="0.3">
      <c r="I887" s="69"/>
      <c r="J887" s="69"/>
    </row>
    <row r="888" spans="9:10" x14ac:dyDescent="0.3">
      <c r="I888" s="69"/>
      <c r="J888" s="69"/>
    </row>
    <row r="889" spans="9:10" x14ac:dyDescent="0.3">
      <c r="I889" s="69"/>
      <c r="J889" s="69"/>
    </row>
    <row r="890" spans="9:10" x14ac:dyDescent="0.3">
      <c r="I890" s="69"/>
      <c r="J890" s="69"/>
    </row>
    <row r="891" spans="9:10" x14ac:dyDescent="0.3">
      <c r="I891" s="69"/>
      <c r="J891" s="69"/>
    </row>
    <row r="892" spans="9:10" x14ac:dyDescent="0.3">
      <c r="I892" s="69"/>
      <c r="J892" s="69"/>
    </row>
    <row r="893" spans="9:10" x14ac:dyDescent="0.3">
      <c r="I893" s="69"/>
      <c r="J893" s="69"/>
    </row>
    <row r="894" spans="9:10" x14ac:dyDescent="0.3">
      <c r="I894" s="69"/>
      <c r="J894" s="69"/>
    </row>
    <row r="895" spans="9:10" x14ac:dyDescent="0.3">
      <c r="I895" s="69"/>
      <c r="J895" s="69"/>
    </row>
    <row r="896" spans="9:10" x14ac:dyDescent="0.3">
      <c r="I896" s="69"/>
      <c r="J896" s="69"/>
    </row>
    <row r="897" spans="9:10" x14ac:dyDescent="0.3">
      <c r="I897" s="69"/>
      <c r="J897" s="69"/>
    </row>
    <row r="898" spans="9:10" x14ac:dyDescent="0.3">
      <c r="I898" s="69"/>
      <c r="J898" s="69"/>
    </row>
    <row r="899" spans="9:10" x14ac:dyDescent="0.3">
      <c r="I899" s="69"/>
      <c r="J899" s="69"/>
    </row>
    <row r="900" spans="9:10" x14ac:dyDescent="0.3">
      <c r="I900" s="69"/>
      <c r="J900" s="69"/>
    </row>
    <row r="901" spans="9:10" x14ac:dyDescent="0.3">
      <c r="I901" s="69"/>
      <c r="J901" s="69"/>
    </row>
    <row r="902" spans="9:10" x14ac:dyDescent="0.3">
      <c r="I902" s="69"/>
      <c r="J902" s="69"/>
    </row>
    <row r="903" spans="9:10" x14ac:dyDescent="0.3">
      <c r="I903" s="69"/>
      <c r="J903" s="69"/>
    </row>
    <row r="904" spans="9:10" x14ac:dyDescent="0.3">
      <c r="I904" s="69"/>
      <c r="J904" s="69"/>
    </row>
    <row r="905" spans="9:10" x14ac:dyDescent="0.3">
      <c r="I905" s="69"/>
      <c r="J905" s="69"/>
    </row>
    <row r="906" spans="9:10" x14ac:dyDescent="0.3">
      <c r="I906" s="69"/>
      <c r="J906" s="69"/>
    </row>
    <row r="907" spans="9:10" x14ac:dyDescent="0.3">
      <c r="I907" s="69"/>
      <c r="J907" s="69"/>
    </row>
    <row r="908" spans="9:10" x14ac:dyDescent="0.3">
      <c r="I908" s="69"/>
      <c r="J908" s="69"/>
    </row>
    <row r="909" spans="9:10" x14ac:dyDescent="0.3">
      <c r="I909" s="69"/>
      <c r="J909" s="69"/>
    </row>
    <row r="910" spans="9:10" x14ac:dyDescent="0.3">
      <c r="I910" s="69"/>
      <c r="J910" s="69"/>
    </row>
    <row r="911" spans="9:10" x14ac:dyDescent="0.3">
      <c r="I911" s="69"/>
      <c r="J911" s="69"/>
    </row>
    <row r="912" spans="9:10" x14ac:dyDescent="0.3">
      <c r="I912" s="69"/>
      <c r="J912" s="69"/>
    </row>
    <row r="913" spans="9:10" x14ac:dyDescent="0.3">
      <c r="I913" s="69"/>
      <c r="J913" s="69"/>
    </row>
    <row r="914" spans="9:10" x14ac:dyDescent="0.3">
      <c r="I914" s="69"/>
      <c r="J914" s="69"/>
    </row>
    <row r="915" spans="9:10" x14ac:dyDescent="0.3">
      <c r="I915" s="69"/>
      <c r="J915" s="69"/>
    </row>
    <row r="916" spans="9:10" x14ac:dyDescent="0.3">
      <c r="I916" s="69"/>
      <c r="J916" s="69"/>
    </row>
    <row r="917" spans="9:10" x14ac:dyDescent="0.3">
      <c r="I917" s="69"/>
      <c r="J917" s="69"/>
    </row>
    <row r="918" spans="9:10" x14ac:dyDescent="0.3">
      <c r="I918" s="69"/>
      <c r="J918" s="69"/>
    </row>
    <row r="919" spans="9:10" x14ac:dyDescent="0.3">
      <c r="I919" s="69"/>
      <c r="J919" s="69"/>
    </row>
    <row r="920" spans="9:10" x14ac:dyDescent="0.3">
      <c r="I920" s="69"/>
      <c r="J920" s="69"/>
    </row>
    <row r="921" spans="9:10" x14ac:dyDescent="0.3">
      <c r="I921" s="69"/>
      <c r="J921" s="69"/>
    </row>
    <row r="922" spans="9:10" x14ac:dyDescent="0.3">
      <c r="I922" s="69"/>
      <c r="J922" s="69"/>
    </row>
    <row r="923" spans="9:10" x14ac:dyDescent="0.3">
      <c r="I923" s="69"/>
      <c r="J923" s="69"/>
    </row>
    <row r="924" spans="9:10" x14ac:dyDescent="0.3">
      <c r="I924" s="69"/>
      <c r="J924" s="69"/>
    </row>
    <row r="925" spans="9:10" x14ac:dyDescent="0.3">
      <c r="I925" s="69"/>
      <c r="J925" s="69"/>
    </row>
    <row r="926" spans="9:10" x14ac:dyDescent="0.3">
      <c r="I926" s="69"/>
      <c r="J926" s="69"/>
    </row>
    <row r="927" spans="9:10" x14ac:dyDescent="0.3">
      <c r="I927" s="69"/>
      <c r="J927" s="69"/>
    </row>
    <row r="928" spans="9:10" x14ac:dyDescent="0.3">
      <c r="I928" s="69"/>
      <c r="J928" s="69"/>
    </row>
    <row r="929" spans="9:10" x14ac:dyDescent="0.3">
      <c r="I929" s="69"/>
      <c r="J929" s="69"/>
    </row>
    <row r="930" spans="9:10" x14ac:dyDescent="0.3">
      <c r="I930" s="69"/>
      <c r="J930" s="69"/>
    </row>
    <row r="931" spans="9:10" x14ac:dyDescent="0.3">
      <c r="I931" s="69"/>
      <c r="J931" s="69"/>
    </row>
    <row r="932" spans="9:10" x14ac:dyDescent="0.3">
      <c r="I932" s="69"/>
      <c r="J932" s="69"/>
    </row>
    <row r="933" spans="9:10" x14ac:dyDescent="0.3">
      <c r="I933" s="69"/>
      <c r="J933" s="69"/>
    </row>
    <row r="934" spans="9:10" x14ac:dyDescent="0.3">
      <c r="I934" s="69"/>
      <c r="J934" s="69"/>
    </row>
    <row r="935" spans="9:10" x14ac:dyDescent="0.3">
      <c r="I935" s="69"/>
      <c r="J935" s="69"/>
    </row>
    <row r="936" spans="9:10" x14ac:dyDescent="0.3">
      <c r="I936" s="69"/>
      <c r="J936" s="69"/>
    </row>
    <row r="937" spans="9:10" x14ac:dyDescent="0.3">
      <c r="I937" s="69"/>
      <c r="J937" s="69"/>
    </row>
    <row r="938" spans="9:10" x14ac:dyDescent="0.3">
      <c r="I938" s="69"/>
      <c r="J938" s="69"/>
    </row>
    <row r="939" spans="9:10" x14ac:dyDescent="0.3">
      <c r="I939" s="69"/>
      <c r="J939" s="69"/>
    </row>
    <row r="940" spans="9:10" x14ac:dyDescent="0.3">
      <c r="I940" s="69"/>
      <c r="J940" s="69"/>
    </row>
    <row r="941" spans="9:10" x14ac:dyDescent="0.3">
      <c r="I941" s="69"/>
      <c r="J941" s="69"/>
    </row>
    <row r="942" spans="9:10" x14ac:dyDescent="0.3">
      <c r="I942" s="69"/>
      <c r="J942" s="69"/>
    </row>
    <row r="943" spans="9:10" x14ac:dyDescent="0.3">
      <c r="I943" s="69"/>
      <c r="J943" s="69"/>
    </row>
    <row r="944" spans="9:10" x14ac:dyDescent="0.3">
      <c r="I944" s="69"/>
      <c r="J944" s="69"/>
    </row>
    <row r="945" spans="9:10" x14ac:dyDescent="0.3">
      <c r="I945" s="69"/>
      <c r="J945" s="69"/>
    </row>
    <row r="946" spans="9:10" x14ac:dyDescent="0.3">
      <c r="I946" s="69"/>
      <c r="J946" s="69"/>
    </row>
    <row r="947" spans="9:10" x14ac:dyDescent="0.3">
      <c r="I947" s="69"/>
      <c r="J947" s="69"/>
    </row>
    <row r="948" spans="9:10" x14ac:dyDescent="0.3">
      <c r="I948" s="69"/>
      <c r="J948" s="69"/>
    </row>
    <row r="949" spans="9:10" x14ac:dyDescent="0.3">
      <c r="I949" s="69"/>
      <c r="J949" s="69"/>
    </row>
    <row r="950" spans="9:10" x14ac:dyDescent="0.3">
      <c r="I950" s="69"/>
      <c r="J950" s="69"/>
    </row>
    <row r="951" spans="9:10" x14ac:dyDescent="0.3">
      <c r="I951" s="69"/>
      <c r="J951" s="69"/>
    </row>
    <row r="952" spans="9:10" x14ac:dyDescent="0.3">
      <c r="I952" s="69"/>
      <c r="J952" s="69"/>
    </row>
    <row r="953" spans="9:10" x14ac:dyDescent="0.3">
      <c r="I953" s="69"/>
      <c r="J953" s="69"/>
    </row>
    <row r="954" spans="9:10" x14ac:dyDescent="0.3">
      <c r="I954" s="69"/>
      <c r="J954" s="69"/>
    </row>
    <row r="955" spans="9:10" x14ac:dyDescent="0.3">
      <c r="I955" s="69"/>
      <c r="J955" s="69"/>
    </row>
    <row r="956" spans="9:10" x14ac:dyDescent="0.3">
      <c r="I956" s="69"/>
      <c r="J956" s="69"/>
    </row>
    <row r="957" spans="9:10" x14ac:dyDescent="0.3">
      <c r="I957" s="69"/>
      <c r="J957" s="69"/>
    </row>
    <row r="958" spans="9:10" x14ac:dyDescent="0.3">
      <c r="I958" s="69"/>
      <c r="J958" s="69"/>
    </row>
    <row r="959" spans="9:10" x14ac:dyDescent="0.3">
      <c r="I959" s="69"/>
      <c r="J959" s="69"/>
    </row>
    <row r="960" spans="9:10" x14ac:dyDescent="0.3">
      <c r="I960" s="69"/>
      <c r="J960" s="69"/>
    </row>
    <row r="961" spans="9:10" x14ac:dyDescent="0.3">
      <c r="I961" s="69"/>
      <c r="J961" s="69"/>
    </row>
    <row r="962" spans="9:10" x14ac:dyDescent="0.3">
      <c r="I962" s="69"/>
      <c r="J962" s="69"/>
    </row>
    <row r="963" spans="9:10" x14ac:dyDescent="0.3">
      <c r="I963" s="69"/>
      <c r="J963" s="69"/>
    </row>
    <row r="964" spans="9:10" x14ac:dyDescent="0.3">
      <c r="I964" s="69"/>
      <c r="J964" s="69"/>
    </row>
    <row r="965" spans="9:10" x14ac:dyDescent="0.3">
      <c r="I965" s="69"/>
      <c r="J965" s="69"/>
    </row>
    <row r="966" spans="9:10" x14ac:dyDescent="0.3">
      <c r="I966" s="69"/>
      <c r="J966" s="69"/>
    </row>
    <row r="967" spans="9:10" x14ac:dyDescent="0.3">
      <c r="I967" s="69"/>
      <c r="J967" s="69"/>
    </row>
    <row r="968" spans="9:10" x14ac:dyDescent="0.3">
      <c r="I968" s="69"/>
      <c r="J968" s="69"/>
    </row>
    <row r="969" spans="9:10" x14ac:dyDescent="0.3">
      <c r="I969" s="69"/>
      <c r="J969" s="69"/>
    </row>
    <row r="970" spans="9:10" x14ac:dyDescent="0.3">
      <c r="I970" s="69"/>
      <c r="J970" s="69"/>
    </row>
    <row r="971" spans="9:10" x14ac:dyDescent="0.3">
      <c r="I971" s="69"/>
      <c r="J971" s="69"/>
    </row>
    <row r="972" spans="9:10" x14ac:dyDescent="0.3">
      <c r="I972" s="69"/>
      <c r="J972" s="69"/>
    </row>
    <row r="973" spans="9:10" x14ac:dyDescent="0.3">
      <c r="I973" s="69"/>
      <c r="J973" s="69"/>
    </row>
    <row r="974" spans="9:10" x14ac:dyDescent="0.3">
      <c r="I974" s="69"/>
      <c r="J974" s="69"/>
    </row>
    <row r="975" spans="9:10" x14ac:dyDescent="0.3">
      <c r="I975" s="69"/>
      <c r="J975" s="69"/>
    </row>
    <row r="976" spans="9:10" x14ac:dyDescent="0.3">
      <c r="I976" s="69"/>
      <c r="J976" s="69"/>
    </row>
    <row r="977" spans="9:10" x14ac:dyDescent="0.3">
      <c r="I977" s="69"/>
      <c r="J977" s="69"/>
    </row>
    <row r="978" spans="9:10" x14ac:dyDescent="0.3">
      <c r="I978" s="69"/>
      <c r="J978" s="69"/>
    </row>
    <row r="979" spans="9:10" x14ac:dyDescent="0.3">
      <c r="I979" s="69"/>
      <c r="J979" s="69"/>
    </row>
    <row r="980" spans="9:10" x14ac:dyDescent="0.3">
      <c r="I980" s="69"/>
      <c r="J980" s="69"/>
    </row>
    <row r="981" spans="9:10" x14ac:dyDescent="0.3">
      <c r="I981" s="69"/>
      <c r="J981" s="69"/>
    </row>
    <row r="982" spans="9:10" x14ac:dyDescent="0.3">
      <c r="I982" s="69"/>
      <c r="J982" s="69"/>
    </row>
    <row r="983" spans="9:10" x14ac:dyDescent="0.3">
      <c r="I983" s="69"/>
      <c r="J983" s="69"/>
    </row>
    <row r="984" spans="9:10" x14ac:dyDescent="0.3">
      <c r="I984" s="69"/>
      <c r="J984" s="69"/>
    </row>
    <row r="985" spans="9:10" x14ac:dyDescent="0.3">
      <c r="I985" s="69"/>
      <c r="J985" s="69"/>
    </row>
    <row r="986" spans="9:10" x14ac:dyDescent="0.3">
      <c r="I986" s="69"/>
      <c r="J986" s="69"/>
    </row>
    <row r="987" spans="9:10" x14ac:dyDescent="0.3">
      <c r="I987" s="69"/>
      <c r="J987" s="69"/>
    </row>
    <row r="988" spans="9:10" x14ac:dyDescent="0.3">
      <c r="I988" s="69"/>
      <c r="J988" s="69"/>
    </row>
    <row r="989" spans="9:10" x14ac:dyDescent="0.3">
      <c r="I989" s="69"/>
      <c r="J989" s="69"/>
    </row>
    <row r="990" spans="9:10" x14ac:dyDescent="0.3">
      <c r="I990" s="69"/>
      <c r="J990" s="69"/>
    </row>
    <row r="991" spans="9:10" x14ac:dyDescent="0.3">
      <c r="I991" s="69"/>
      <c r="J991" s="69"/>
    </row>
    <row r="992" spans="9:10" x14ac:dyDescent="0.3">
      <c r="I992" s="69"/>
      <c r="J992" s="69"/>
    </row>
    <row r="993" spans="9:10" x14ac:dyDescent="0.3">
      <c r="I993" s="69"/>
      <c r="J993" s="69"/>
    </row>
    <row r="994" spans="9:10" x14ac:dyDescent="0.3">
      <c r="I994" s="69"/>
      <c r="J994" s="69"/>
    </row>
    <row r="995" spans="9:10" x14ac:dyDescent="0.3">
      <c r="I995" s="69"/>
      <c r="J995" s="69"/>
    </row>
    <row r="996" spans="9:10" x14ac:dyDescent="0.3">
      <c r="I996" s="69"/>
      <c r="J996" s="69"/>
    </row>
    <row r="997" spans="9:10" x14ac:dyDescent="0.3">
      <c r="I997" s="69"/>
      <c r="J997" s="69"/>
    </row>
    <row r="998" spans="9:10" x14ac:dyDescent="0.3">
      <c r="I998" s="69"/>
      <c r="J998" s="69"/>
    </row>
    <row r="999" spans="9:10" x14ac:dyDescent="0.3">
      <c r="I999" s="69"/>
      <c r="J999" s="69"/>
    </row>
    <row r="1000" spans="9:10" x14ac:dyDescent="0.3">
      <c r="I1000" s="69"/>
      <c r="J1000" s="69"/>
    </row>
  </sheetData>
  <autoFilter ref="A1:M181" xr:uid="{00000000-0001-0000-0100-000000000000}"/>
  <conditionalFormatting sqref="E250:E300 E2:E248">
    <cfRule type="expression" dxfId="8" priority="15">
      <formula>$E2="Done"</formula>
    </cfRule>
    <cfRule type="expression" dxfId="7" priority="16">
      <formula>$E2="In progress"</formula>
    </cfRule>
    <cfRule type="expression" dxfId="6" priority="17">
      <formula>$E2="In review"</formula>
    </cfRule>
    <cfRule type="expression" dxfId="5" priority="18">
      <formula>$E2="Backlog"</formula>
    </cfRule>
  </conditionalFormatting>
  <conditionalFormatting sqref="F2:F300">
    <cfRule type="expression" dxfId="4" priority="19">
      <formula>$F2="High"</formula>
    </cfRule>
    <cfRule type="expression" dxfId="3" priority="20">
      <formula>$F2="Medium"</formula>
    </cfRule>
    <cfRule type="expression" dxfId="2" priority="21">
      <formula>$F2="Low"</formula>
    </cfRule>
  </conditionalFormatting>
  <conditionalFormatting sqref="G249:M1048576 G2:N248 A2:D1048576">
    <cfRule type="expression" dxfId="1" priority="1">
      <formula>AND($B2&lt;&gt;"",ISEVEN(ROW()))</formula>
    </cfRule>
  </conditionalFormatting>
  <dataValidations count="5">
    <dataValidation type="list" allowBlank="1" showErrorMessage="1" errorTitle="Invalid" error="Pick a value from the list." sqref="G2:G200" xr:uid="{00000000-0002-0000-0100-000006000000}">
      <formula1>"XS,S,M,L,XL"</formula1>
    </dataValidation>
    <dataValidation type="date" allowBlank="1" showInputMessage="1" showErrorMessage="1" errorTitle="Invalid date" error="Please enter a valid date between 1/1/2000 and 12/31/2100." promptTitle="Enter a date" prompt="Type a date (e.g. 7/2/2026). Only valid dates are accepted." sqref="I2:J1000" xr:uid="{C47FE8E2-BF9C-4D61-B67A-FFEEFDDC2AB9}">
      <formula1>36526</formula1>
      <formula2>73415</formula2>
    </dataValidation>
    <dataValidation type="list" allowBlank="1" showInputMessage="1" showErrorMessage="1" sqref="F2:F300" xr:uid="{C1780BFE-B567-4F5D-87FE-F9B5A57B4712}">
      <formula1>"High,Medium,Low"</formula1>
    </dataValidation>
    <dataValidation type="list" allowBlank="1" showInputMessage="1" showErrorMessage="1" sqref="E2:E243 E245:E248 E250:E300" xr:uid="{6858018E-BA70-46A0-BA18-28D3782838CF}">
      <formula1>"Backlog,In progress,In review,Done"</formula1>
    </dataValidation>
    <dataValidation type="list" allowBlank="1" showInputMessage="1" showErrorMessage="1" sqref="M2:M300" xr:uid="{8D5FF901-AF31-4455-A46F-0DE26D440B1D}">
      <formula1>"Katana,Unity,Eye-Q,Capstone"</formula1>
    </dataValidation>
  </dataValidations>
  <pageMargins left="0.7" right="0.7" top="0.75" bottom="0.75" header="0.3" footer="0.3"/>
  <pageSetup orientation="landscape" useFirstPageNumber="1" horizontalDpi="4294967295" verticalDpi="4294967295"/>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Not on Team list" error="This name isn't on the Team tab. You can keep it (e.g. multiple assignees) or pick from the list." xr:uid="{09368410-06DA-46B2-B40A-EE54EC8C05BF}">
          <x14:formula1>
            <xm:f>Team!$A$2:$A$7</xm:f>
          </x14:formula1>
          <xm:sqref>D2:D300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7"/>
  <sheetViews>
    <sheetView workbookViewId="0"/>
  </sheetViews>
  <sheetFormatPr defaultRowHeight="14.4" x14ac:dyDescent="0.3"/>
  <cols>
    <col min="1" max="1" width="48.109375" customWidth="1"/>
  </cols>
  <sheetData>
    <row r="1" spans="1:1" ht="24" customHeight="1" x14ac:dyDescent="0.3">
      <c r="A1" s="18" t="s">
        <v>465</v>
      </c>
    </row>
    <row r="2" spans="1:1" ht="22.2" customHeight="1" x14ac:dyDescent="0.3">
      <c r="A2" s="19" t="s">
        <v>79</v>
      </c>
    </row>
    <row r="3" spans="1:1" ht="22.2" customHeight="1" x14ac:dyDescent="0.3">
      <c r="A3" s="20" t="s">
        <v>61</v>
      </c>
    </row>
    <row r="4" spans="1:1" ht="22.2" customHeight="1" x14ac:dyDescent="0.3">
      <c r="A4" s="20" t="s">
        <v>149</v>
      </c>
    </row>
    <row r="5" spans="1:1" ht="22.2" customHeight="1" x14ac:dyDescent="0.3">
      <c r="A5" s="20" t="s">
        <v>89</v>
      </c>
    </row>
    <row r="6" spans="1:1" ht="22.2" customHeight="1" x14ac:dyDescent="0.3">
      <c r="A6" s="20" t="s">
        <v>466</v>
      </c>
    </row>
    <row r="7" spans="1:1" ht="22.2" customHeight="1" x14ac:dyDescent="0.3">
      <c r="A7" s="21" t="s">
        <v>467</v>
      </c>
    </row>
  </sheetData>
  <conditionalFormatting sqref="A2:A7">
    <cfRule type="expression" dxfId="0" priority="1">
      <formula>MOD(ROW(),2)=0</formula>
    </cfRule>
  </conditionalFormatting>
  <pageMargins left="0.7" right="0.7" top="0.75" bottom="0.75" header="0.3" footer="0.3"/>
  <pageSetup orientation="portrait" useFirstPageNumber="1"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59716F11FB6F9409089B98D1C11D330" ma:contentTypeVersion="18" ma:contentTypeDescription="Create a new document." ma:contentTypeScope="" ma:versionID="bc55ac45923017d94ee4534da3224188">
  <xsd:schema xmlns:xsd="http://www.w3.org/2001/XMLSchema" xmlns:xs="http://www.w3.org/2001/XMLSchema" xmlns:p="http://schemas.microsoft.com/office/2006/metadata/properties" xmlns:ns2="2e20d828-e3fd-41fd-921c-fbe0ff523ae8" xmlns:ns3="adfc7943-f9ee-4478-a01e-ebfcb6e54f53" targetNamespace="http://schemas.microsoft.com/office/2006/metadata/properties" ma:root="true" ma:fieldsID="5bc17ad4f23ab8382a0bb5b03decca58" ns2:_="" ns3:_="">
    <xsd:import namespace="2e20d828-e3fd-41fd-921c-fbe0ff523ae8"/>
    <xsd:import namespace="adfc7943-f9ee-4478-a01e-ebfcb6e54f53"/>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LengthInSeconds" minOccurs="0"/>
                <xsd:element ref="ns2:MediaServiceGenerationTime" minOccurs="0"/>
                <xsd:element ref="ns2:MediaServiceEventHashCode" minOccurs="0"/>
                <xsd:element ref="ns2:MediaServiceOCR" minOccurs="0"/>
                <xsd:element ref="ns2:MediaServiceDateTaken"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e20d828-e3fd-41fd-921c-fbe0ff523ae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9dd48e6f-de91-4091-a7ff-c4f988f219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dfc7943-f9ee-4478-a01e-ebfcb6e54f53"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23d2cad7-2880-4f3e-b38a-7e2b47dceb89}" ma:internalName="TaxCatchAll" ma:showField="CatchAllData" ma:web="adfc7943-f9ee-4478-a01e-ebfcb6e54f5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e20d828-e3fd-41fd-921c-fbe0ff523ae8">
      <Terms xmlns="http://schemas.microsoft.com/office/infopath/2007/PartnerControls"/>
    </lcf76f155ced4ddcb4097134ff3c332f>
    <TaxCatchAll xmlns="adfc7943-f9ee-4478-a01e-ebfcb6e54f5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CE6A3B7-F954-4629-B802-2205DECE68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e20d828-e3fd-41fd-921c-fbe0ff523ae8"/>
    <ds:schemaRef ds:uri="adfc7943-f9ee-4478-a01e-ebfcb6e54f5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07A8743-A532-48E3-9004-715BF423F4DA}">
  <ds:schemaRefs>
    <ds:schemaRef ds:uri="http://schemas.microsoft.com/office/2006/metadata/properties"/>
    <ds:schemaRef ds:uri="http://schemas.microsoft.com/office/infopath/2007/PartnerControls"/>
    <ds:schemaRef ds:uri="2e20d828-e3fd-41fd-921c-fbe0ff523ae8"/>
    <ds:schemaRef ds:uri="adfc7943-f9ee-4478-a01e-ebfcb6e54f53"/>
  </ds:schemaRefs>
</ds:datastoreItem>
</file>

<file path=customXml/itemProps3.xml><?xml version="1.0" encoding="utf-8"?>
<ds:datastoreItem xmlns:ds="http://schemas.openxmlformats.org/officeDocument/2006/customXml" ds:itemID="{737DCCA1-99B2-40A5-A4E9-9FBBAC380C6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 Instructions</vt:lpstr>
      <vt:lpstr>KII Tasks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2026-06-29T15:03:34Z</dcterms:created>
  <dcterms:modified xsi:type="dcterms:W3CDTF">2026-07-03T14:46:14Z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0x010100959716F11FB6F9409089B98D1C11D330</vt:lpwstr>
  </property>
</Properties>
</file>